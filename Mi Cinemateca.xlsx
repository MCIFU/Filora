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ñadir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lículas" sheetId="3" state="visible" r:id="rId3"/>
    <sheet xmlns:r="http://schemas.openxmlformats.org/officeDocument/2006/relationships" name="Series" sheetId="4" state="visible" r:id="rId4"/>
    <sheet xmlns:r="http://schemas.openxmlformats.org/officeDocument/2006/relationships" name="UCM" sheetId="5" state="visible" r:id="rId5"/>
    <sheet xmlns:r="http://schemas.openxmlformats.org/officeDocument/2006/relationships" name="Pendientes" sheetId="6" state="visible" r:id="rId6"/>
    <sheet xmlns:r="http://schemas.openxmlformats.org/officeDocument/2006/relationships" name="Estrenos Españ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 min&quot;"/>
    <numFmt numFmtId="165" formatCode="0.0"/>
    <numFmt numFmtId="166" formatCode="dd/mm/yyyy"/>
    <numFmt numFmtId="167" formatCode="#,##0;[Red]-#,##0"/>
    <numFmt numFmtId="168" formatCode="0.0&quot;x&quot;"/>
    <numFmt numFmtId="169" formatCode="yyyy-mm-dd"/>
    <numFmt numFmtId="170" formatCode="0&quot;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2F6FB0"/>
      <u val="single"/>
    </font>
    <font>
      <name val="Calibri"/>
      <b val="1"/>
    </font>
    <font>
      <name val="Calibri"/>
      <color rgb="00C9962F"/>
    </font>
    <font>
      <name val="Calibri"/>
      <b val="1"/>
      <color rgb="0015151C"/>
      <sz val="13"/>
    </font>
    <font>
      <name val="Calibri"/>
      <b val="1"/>
      <color rgb="0015151C"/>
      <sz val="18"/>
    </font>
    <font>
      <name val="Calibri"/>
      <color rgb="006B6B78"/>
      <sz val="10"/>
    </font>
    <font>
      <name val="Calibri"/>
      <b val="1"/>
      <color rgb="0015151C"/>
      <sz val="24"/>
    </font>
    <font>
      <name val="Calibri"/>
      <color rgb="00BDBDC7"/>
      <sz val="9"/>
    </font>
    <font>
      <name val="Calibri"/>
      <b val="1"/>
      <color rgb="00C9962F"/>
      <sz val="20"/>
    </font>
    <font>
      <name val="Calibri"/>
      <b val="1"/>
      <color rgb="0015151C"/>
      <sz val="12"/>
    </font>
    <font>
      <name val="Calibri"/>
      <b val="1"/>
      <color rgb="006B6B78"/>
      <sz val="9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151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2" borderId="0" pivotButton="0" quotePrefix="0" xfId="0"/>
    <xf numFmtId="0" fontId="0" fillId="2" borderId="0" pivotButton="0" quotePrefix="0" xfId="0"/>
    <xf numFmtId="1" fontId="10" fillId="2" borderId="0" applyAlignment="1" pivotButton="0" quotePrefix="0" xfId="0">
      <alignment horizontal="left"/>
    </xf>
    <xf numFmtId="2" fontId="10" fillId="2" borderId="0" applyAlignment="1" pivotButton="0" quotePrefix="0" xfId="0">
      <alignment horizontal="left"/>
    </xf>
    <xf numFmtId="3" fontId="10" fillId="2" borderId="0" applyAlignment="1" pivotButton="0" quotePrefix="0" xfId="0">
      <alignment horizontal="left"/>
    </xf>
    <xf numFmtId="0" fontId="11" fillId="0" borderId="0" pivotButton="0" quotePrefix="0" xfId="0"/>
    <xf numFmtId="0" fontId="12" fillId="0" borderId="1" pivotButton="0" quotePrefix="0" xfId="0"/>
    <xf numFmtId="0" fontId="13" fillId="0" borderId="0" pivotButton="0" quotePrefix="0" xfId="0"/>
    <xf numFmtId="1" fontId="13" fillId="0" borderId="0" pivotButton="0" quotePrefix="0" xfId="0"/>
    <xf numFmtId="165" fontId="13" fillId="0" borderId="0" pivotButton="0" quotePrefix="0" xfId="0"/>
    <xf numFmtId="170" fontId="13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164" fontId="0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Películas por género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 xmlns:a="http://schemas.openxmlformats.org/drawingml/2006/main">
              <a:srgbClr val="C9962F"/>
            </a:solidFill>
            <a:ln xmlns:a="http://schemas.openxmlformats.org/drawingml/2006/main">
              <a:prstDash val="solid"/>
            </a:ln>
          </spPr>
          <cat>
            <numRef>
              <f>'Resumen'!$B$14:$B$32</f>
            </numRef>
          </cat>
          <val>
            <numRef>
              <f>'Resumen'!$C$14:$C$32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tus notas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'Resumen'!K36</f>
            </strRef>
          </tx>
          <spPr>
            <a:solidFill xmlns:a="http://schemas.openxmlformats.org/drawingml/2006/main">
              <a:srgbClr val="15151C"/>
            </a:solidFill>
            <a:ln xmlns:a="http://schemas.openxmlformats.org/drawingml/2006/main">
              <a:prstDash val="solid"/>
            </a:ln>
          </spPr>
          <cat>
            <numRef>
              <f>'Resumen'!$J$37:$J$46</f>
            </numRef>
          </cat>
          <val>
            <numRef>
              <f>'Resumen'!$K$37:$K$46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11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adir" displayName="Anadir" ref="A4:J29" headerRowCount="1">
  <autoFilter ref="A4:J29"/>
  <tableColumns count="10">
    <tableColumn id="1" name="Año"/>
    <tableColumn id="2" name="Duración"/>
    <tableColumn id="3" name="Nota"/>
    <tableColumn id="4" name="Título"/>
    <tableColumn id="5" name="Director"/>
    <tableColumn id="6" name="País"/>
    <tableColumn id="7" name="Géneros"/>
    <tableColumn id="8" name="Dónde"/>
    <tableColumn id="9" name="Visto el"/>
    <tableColumn id="10" name="Reseña"/>
  </tableColumns>
  <tableStyleInfo name="TableStyleMedium2" showRowStripes="1"/>
</table>
</file>

<file path=xl/tables/table2.xml><?xml version="1.0" encoding="utf-8"?>
<table xmlns="http://schemas.openxmlformats.org/spreadsheetml/2006/main" id="2" name="Peliculas" displayName="Peliculas" ref="A1:X622" headerRowCount="1">
  <autoFilter ref="A1:X622"/>
  <tableColumns count="24">
    <tableColumn id="1" name="ID"/>
    <tableColumn id="2" name="Título"/>
    <tableColumn id="3" name="Título original"/>
    <tableColumn id="4" name="Año"/>
    <tableColumn id="5" name="Década"/>
    <tableColumn id="6" name="Duración"/>
    <tableColumn id="7" name="Nota"/>
    <tableColumn id="8" name="Director"/>
    <tableColumn id="9" name="País"/>
    <tableColumn id="10" name="Géneros"/>
    <tableColumn id="11" name="Saga"/>
    <tableColumn id="12" name="Fase UCM"/>
    <tableColumn id="13" name="Visto el"/>
    <tableColumn id="14" name="Dónde"/>
    <tableColumn id="15" name="Favorita"/>
    <tableColumn id="16" name="Reseña"/>
    <tableColumn id="17" name="Apertura EE.UU. ($)"/>
    <tableColumn id="18" name="Taquilla EE.UU. ($)"/>
    <tableColumn id="19" name="Internacional ($)"/>
    <tableColumn id="20" name="Mundial ($)"/>
    <tableColumn id="21" name="Presupuesto ($)"/>
    <tableColumn id="22" name="IMDb"/>
    <tableColumn id="23" name="FilmAffinity"/>
    <tableColumn id="24" name="Letterboxd"/>
  </tableColumns>
  <tableStyleInfo name="TableStyleMedium15" showRowStripes="1"/>
</table>
</file>

<file path=xl/tables/table3.xml><?xml version="1.0" encoding="utf-8"?>
<table xmlns="http://schemas.openxmlformats.org/spreadsheetml/2006/main" id="3" name="Series" displayName="Series" ref="A1:H152" headerRowCount="1">
  <autoFilter ref="A1:H152"/>
  <tableColumns count="8">
    <tableColumn id="1" name="ID"/>
    <tableColumn id="2" name="Título"/>
    <tableColumn id="3" name="Años"/>
    <tableColumn id="4" name="Tipo"/>
    <tableColumn id="5" name="País"/>
    <tableColumn id="6" name="Animación"/>
    <tableColumn id="7" name="Nota"/>
    <tableColumn id="8" name="Reseña"/>
  </tableColumns>
  <tableStyleInfo name="TableStyleMedium15" showRowStripes="1"/>
</table>
</file>

<file path=xl/tables/table4.xml><?xml version="1.0" encoding="utf-8"?>
<table xmlns="http://schemas.openxmlformats.org/spreadsheetml/2006/main" id="4" name="UCM" displayName="UCM" ref="A1:J39" headerRowCount="1">
  <autoFilter ref="A1:J39"/>
  <tableColumns count="10">
    <tableColumn id="1" name="Fase"/>
    <tableColumn id="2" name="Año"/>
    <tableColumn id="3" name="Título"/>
    <tableColumn id="4" name="Director"/>
    <tableColumn id="5" name="Nota"/>
    <tableColumn id="6" name="Presupuesto ($)"/>
    <tableColumn id="7" name="Apertura ($)"/>
    <tableColumn id="8" name="Mundial ($)"/>
    <tableColumn id="9" name="Beneficio bruto ($)"/>
    <tableColumn id="10" name="Rentabilidad"/>
  </tableColumns>
  <tableStyleInfo name="TableStyleMedium15" showRowStripes="1"/>
</table>
</file>

<file path=xl/tables/table5.xml><?xml version="1.0" encoding="utf-8"?>
<table xmlns="http://schemas.openxmlformats.org/spreadsheetml/2006/main" id="5" name="Pendientes" displayName="Pendientes" ref="A1:D6" headerRowCount="1">
  <autoFilter ref="A1:D6"/>
  <tableColumns count="4">
    <tableColumn id="1" name="Título"/>
    <tableColumn id="2" name="Año"/>
    <tableColumn id="3" name="Motivo"/>
    <tableColumn id="4" name="Añadido"/>
  </tableColumns>
  <tableStyleInfo name="TableStyleMedium15" showRowStripes="1"/>
</table>
</file>

<file path=xl/tables/table6.xml><?xml version="1.0" encoding="utf-8"?>
<table xmlns="http://schemas.openxmlformats.org/spreadsheetml/2006/main" id="6" name="Estrenos" displayName="Estrenos" ref="A1:G101" headerRowCount="1">
  <autoFilter ref="A1:G101"/>
  <tableColumns count="7">
    <tableColumn id="1" name="Fecha"/>
    <tableColumn id="2" name="Título"/>
    <tableColumn id="3" name="Título original"/>
    <tableColumn id="4" name="Director"/>
    <tableColumn id="5" name="Géneros"/>
    <tableColumn id="6" name="País"/>
    <tableColumn id="7" name="Destacado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db.com/title/tt33764258/" TargetMode="External" Id="rId1"/><Relationship Type="http://schemas.openxmlformats.org/officeDocument/2006/relationships/hyperlink" Target="https://www.filmaffinity.com/es/film546833.html" TargetMode="External" Id="rId2"/><Relationship Type="http://schemas.openxmlformats.org/officeDocument/2006/relationships/hyperlink" Target="https://letterboxd.com/film/the-odyssey-2026/" TargetMode="External" Id="rId3"/><Relationship Type="http://schemas.openxmlformats.org/officeDocument/2006/relationships/hyperlink" Target="https://www.imdb.com/title/tt26657236/" TargetMode="External" Id="rId4"/><Relationship Type="http://schemas.openxmlformats.org/officeDocument/2006/relationships/hyperlink" Target="https://www.filmaffinity.com/es/film789723.html" TargetMode="External" Id="rId5"/><Relationship Type="http://schemas.openxmlformats.org/officeDocument/2006/relationships/hyperlink" Target="https://letterboxd.com/film/backrooms-2026/" TargetMode="External" Id="rId6"/><Relationship Type="http://schemas.openxmlformats.org/officeDocument/2006/relationships/hyperlink" Target="https://www.imdb.com/title/tt37287335/" TargetMode="External" Id="rId7"/><Relationship Type="http://schemas.openxmlformats.org/officeDocument/2006/relationships/hyperlink" Target="https://www.filmaffinity.com/es/film852705.html" TargetMode="External" Id="rId8"/><Relationship Type="http://schemas.openxmlformats.org/officeDocument/2006/relationships/hyperlink" Target="https://letterboxd.com/film/obsession-2025/" TargetMode="External" Id="rId9"/><Relationship Type="http://schemas.openxmlformats.org/officeDocument/2006/relationships/hyperlink" Target="https://www.imdb.com/title/tt35672862/" TargetMode="External" Id="rId10"/><Relationship Type="http://schemas.openxmlformats.org/officeDocument/2006/relationships/hyperlink" Target="https://www.filmaffinity.com/es/film273972.html" TargetMode="External" Id="rId11"/><Relationship Type="http://schemas.openxmlformats.org/officeDocument/2006/relationships/hyperlink" Target="https://letterboxd.com/film/hokum/" TargetMode="External" Id="rId12"/><Relationship Type="http://schemas.openxmlformats.org/officeDocument/2006/relationships/hyperlink" Target="https://www.imdb.com/title/tt11378946/" TargetMode="External" Id="rId13"/><Relationship Type="http://schemas.openxmlformats.org/officeDocument/2006/relationships/hyperlink" Target="https://www.filmaffinity.com/es/film547249.html" TargetMode="External" Id="rId14"/><Relationship Type="http://schemas.openxmlformats.org/officeDocument/2006/relationships/hyperlink" Target="https://letterboxd.com/film/michael-2026/" TargetMode="External" Id="rId15"/><Relationship Type="http://schemas.openxmlformats.org/officeDocument/2006/relationships/hyperlink" Target="https://www.imdb.com/title/tt22084616/" TargetMode="External" Id="rId16"/><Relationship Type="http://schemas.openxmlformats.org/officeDocument/2006/relationships/hyperlink" Target="https://www.filmaffinity.com/es/film437038.html" TargetMode="External" Id="rId17"/><Relationship Type="http://schemas.openxmlformats.org/officeDocument/2006/relationships/hyperlink" Target="https://letterboxd.com/film/spider-man-brand-new-day/" TargetMode="External" Id="rId18"/><Relationship Type="http://schemas.openxmlformats.org/officeDocument/2006/relationships/hyperlink" Target="https://www.imdb.com/title/tt27165187/" TargetMode="External" Id="rId19"/><Relationship Type="http://schemas.openxmlformats.org/officeDocument/2006/relationships/hyperlink" Target="https://www.filmaffinity.com/es/film299953.html" TargetMode="External" Id="rId20"/><Relationship Type="http://schemas.openxmlformats.org/officeDocument/2006/relationships/hyperlink" Target="https://letterboxd.com/film/the-end-of-oak-street/" TargetMode="External" Id="rId21"/><Relationship Type="http://schemas.openxmlformats.org/officeDocument/2006/relationships/hyperlink" Target="https://www.imdb.com/title/tt33451014/" TargetMode="External" Id="rId22"/><Relationship Type="http://schemas.openxmlformats.org/officeDocument/2006/relationships/hyperlink" Target="https://letterboxd.com/film/the-beloved-2026/" TargetMode="External" Id="rId23"/><Relationship Type="http://schemas.openxmlformats.org/officeDocument/2006/relationships/hyperlink" Target="https://www.imdb.com/title/tt28650488/" TargetMode="External" Id="rId24"/><Relationship Type="http://schemas.openxmlformats.org/officeDocument/2006/relationships/hyperlink" Target="https://www.filmaffinity.com/es/film833222.html" TargetMode="External" Id="rId25"/><Relationship Type="http://schemas.openxmlformats.org/officeDocument/2006/relationships/hyperlink" Target="https://letterboxd.com/film/the-super-mario-galaxy-movie/" TargetMode="External" Id="rId26"/><Relationship Type="http://schemas.openxmlformats.org/officeDocument/2006/relationships/hyperlink" Target="https://www.imdb.com/title/tt32612507/" TargetMode="External" Id="rId27"/><Relationship Type="http://schemas.openxmlformats.org/officeDocument/2006/relationships/hyperlink" Target="https://www.filmaffinity.com/es/film126148.html" TargetMode="External" Id="rId28"/><Relationship Type="http://schemas.openxmlformats.org/officeDocument/2006/relationships/hyperlink" Target="https://letterboxd.com/film/lee-cronins-the-mummy/" TargetMode="External" Id="rId29"/><Relationship Type="http://schemas.openxmlformats.org/officeDocument/2006/relationships/hyperlink" Target="https://www.imdb.com/title/tt33763941/" TargetMode="External" Id="rId30"/><Relationship Type="http://schemas.openxmlformats.org/officeDocument/2006/relationships/hyperlink" Target="https://www.filmaffinity.com/es/film736057.html" TargetMode="External" Id="rId31"/><Relationship Type="http://schemas.openxmlformats.org/officeDocument/2006/relationships/hyperlink" Target="https://letterboxd.com/film/passenger-2026/" TargetMode="External" Id="rId32"/><Relationship Type="http://schemas.openxmlformats.org/officeDocument/2006/relationships/hyperlink" Target="https://www.imdb.com/title/tt12299608/" TargetMode="External" Id="rId33"/><Relationship Type="http://schemas.openxmlformats.org/officeDocument/2006/relationships/hyperlink" Target="https://www.filmaffinity.com/es/film466389.html" TargetMode="External" Id="rId34"/><Relationship Type="http://schemas.openxmlformats.org/officeDocument/2006/relationships/hyperlink" Target="https://letterboxd.com/film/mickey-17/" TargetMode="External" Id="rId35"/><Relationship Type="http://schemas.openxmlformats.org/officeDocument/2006/relationships/hyperlink" Target="https://www.imdb.com/title/tt26581740/" TargetMode="External" Id="rId36"/><Relationship Type="http://schemas.openxmlformats.org/officeDocument/2006/relationships/hyperlink" Target="https://www.filmaffinity.com/es/film809089.html" TargetMode="External" Id="rId37"/><Relationship Type="http://schemas.openxmlformats.org/officeDocument/2006/relationships/hyperlink" Target="https://letterboxd.com/film/weapons-2025/" TargetMode="External" Id="rId38"/><Relationship Type="http://schemas.openxmlformats.org/officeDocument/2006/relationships/hyperlink" Target="https://www.imdb.com/title/tt20969586/" TargetMode="External" Id="rId39"/><Relationship Type="http://schemas.openxmlformats.org/officeDocument/2006/relationships/hyperlink" Target="https://www.filmaffinity.com/es/film626675.html" TargetMode="External" Id="rId40"/><Relationship Type="http://schemas.openxmlformats.org/officeDocument/2006/relationships/hyperlink" Target="https://letterboxd.com/film/thunderbolts/" TargetMode="External" Id="rId41"/><Relationship Type="http://schemas.openxmlformats.org/officeDocument/2006/relationships/hyperlink" Target="https://www.imdb.com/title/tt10676052/" TargetMode="External" Id="rId42"/><Relationship Type="http://schemas.openxmlformats.org/officeDocument/2006/relationships/hyperlink" Target="https://www.filmaffinity.com/es/film994872.html" TargetMode="External" Id="rId43"/><Relationship Type="http://schemas.openxmlformats.org/officeDocument/2006/relationships/hyperlink" Target="https://letterboxd.com/film/the-fantastic-four-first-steps/" TargetMode="External" Id="rId44"/><Relationship Type="http://schemas.openxmlformats.org/officeDocument/2006/relationships/hyperlink" Target="https://www.imdb.com/title/tt16311594/" TargetMode="External" Id="rId45"/><Relationship Type="http://schemas.openxmlformats.org/officeDocument/2006/relationships/hyperlink" Target="https://www.filmaffinity.com/es/film935703.html" TargetMode="External" Id="rId46"/><Relationship Type="http://schemas.openxmlformats.org/officeDocument/2006/relationships/hyperlink" Target="https://letterboxd.com/film/f1/" TargetMode="External" Id="rId47"/><Relationship Type="http://schemas.openxmlformats.org/officeDocument/2006/relationships/hyperlink" Target="https://www.imdb.com/title/tt22898462/" TargetMode="External" Id="rId48"/><Relationship Type="http://schemas.openxmlformats.org/officeDocument/2006/relationships/hyperlink" Target="https://www.filmaffinity.com/es/film268707.html" TargetMode="External" Id="rId49"/><Relationship Type="http://schemas.openxmlformats.org/officeDocument/2006/relationships/hyperlink" Target="https://letterboxd.com/film/the-conjuring-last-rites/" TargetMode="External" Id="rId50"/><Relationship Type="http://schemas.openxmlformats.org/officeDocument/2006/relationships/hyperlink" Target="https://www.imdb.com/title/tt14513804/" TargetMode="External" Id="rId51"/><Relationship Type="http://schemas.openxmlformats.org/officeDocument/2006/relationships/hyperlink" Target="https://www.filmaffinity.com/es/film642241.html" TargetMode="External" Id="rId52"/><Relationship Type="http://schemas.openxmlformats.org/officeDocument/2006/relationships/hyperlink" Target="https://letterboxd.com/film/captain-america-brave-new-world/" TargetMode="External" Id="rId53"/><Relationship Type="http://schemas.openxmlformats.org/officeDocument/2006/relationships/hyperlink" Target="https://www.imdb.com/title/tt30955489/" TargetMode="External" Id="rId54"/><Relationship Type="http://schemas.openxmlformats.org/officeDocument/2006/relationships/hyperlink" Target="https://www.filmaffinity.com/es/film579097.html" TargetMode="External" Id="rId55"/><Relationship Type="http://schemas.openxmlformats.org/officeDocument/2006/relationships/hyperlink" Target="https://letterboxd.com/film/until-dawn-2025/" TargetMode="External" Id="rId56"/><Relationship Type="http://schemas.openxmlformats.org/officeDocument/2006/relationships/hyperlink" Target="https://www.imdb.com/title/tt28671344/" TargetMode="External" Id="rId57"/><Relationship Type="http://schemas.openxmlformats.org/officeDocument/2006/relationships/hyperlink" Target="https://www.filmaffinity.com/es/film278366.html" TargetMode="External" Id="rId58"/><Relationship Type="http://schemas.openxmlformats.org/officeDocument/2006/relationships/hyperlink" Target="https://letterboxd.com/film/the-strangers-chapter-2/" TargetMode="External" Id="rId59"/><Relationship Type="http://schemas.openxmlformats.org/officeDocument/2006/relationships/hyperlink" Target="https://www.imdb.com/title/tt28015403/" TargetMode="External" Id="rId60"/><Relationship Type="http://schemas.openxmlformats.org/officeDocument/2006/relationships/hyperlink" Target="https://www.filmaffinity.com/es/film744837.html" TargetMode="External" Id="rId61"/><Relationship Type="http://schemas.openxmlformats.org/officeDocument/2006/relationships/hyperlink" Target="https://letterboxd.com/film/heretic-2024/" TargetMode="External" Id="rId62"/><Relationship Type="http://schemas.openxmlformats.org/officeDocument/2006/relationships/hyperlink" Target="https://www.imdb.com/title/tt17526714/" TargetMode="External" Id="rId63"/><Relationship Type="http://schemas.openxmlformats.org/officeDocument/2006/relationships/hyperlink" Target="https://www.filmaffinity.com/es/film833687.html" TargetMode="External" Id="rId64"/><Relationship Type="http://schemas.openxmlformats.org/officeDocument/2006/relationships/hyperlink" Target="https://letterboxd.com/film/the-substance/" TargetMode="External" Id="rId65"/><Relationship Type="http://schemas.openxmlformats.org/officeDocument/2006/relationships/hyperlink" Target="https://www.imdb.com/title/tt22022452/" TargetMode="External" Id="rId66"/><Relationship Type="http://schemas.openxmlformats.org/officeDocument/2006/relationships/hyperlink" Target="https://www.filmaffinity.com/es/film103131.html" TargetMode="External" Id="rId67"/><Relationship Type="http://schemas.openxmlformats.org/officeDocument/2006/relationships/hyperlink" Target="https://letterboxd.com/film/inside-out-2-2024/" TargetMode="External" Id="rId68"/><Relationship Type="http://schemas.openxmlformats.org/officeDocument/2006/relationships/hyperlink" Target="https://www.imdb.com/title/tt2049403/" TargetMode="External" Id="rId69"/><Relationship Type="http://schemas.openxmlformats.org/officeDocument/2006/relationships/hyperlink" Target="https://www.filmaffinity.com/es/film454517.html" TargetMode="External" Id="rId70"/><Relationship Type="http://schemas.openxmlformats.org/officeDocument/2006/relationships/hyperlink" Target="https://letterboxd.com/film/beetlejuice-beetlejuice/" TargetMode="External" Id="rId71"/><Relationship Type="http://schemas.openxmlformats.org/officeDocument/2006/relationships/hyperlink" Target="https://www.imdb.com/title/tt6263850/" TargetMode="External" Id="rId72"/><Relationship Type="http://schemas.openxmlformats.org/officeDocument/2006/relationships/hyperlink" Target="https://www.filmaffinity.com/es/film202500.html" TargetMode="External" Id="rId73"/><Relationship Type="http://schemas.openxmlformats.org/officeDocument/2006/relationships/hyperlink" Target="https://letterboxd.com/film/deadpool-wolverine/" TargetMode="External" Id="rId74"/><Relationship Type="http://schemas.openxmlformats.org/officeDocument/2006/relationships/hyperlink" Target="https://www.imdb.com/title/tt22050754/" TargetMode="External" Id="rId75"/><Relationship Type="http://schemas.openxmlformats.org/officeDocument/2006/relationships/hyperlink" Target="https://www.filmaffinity.com/es/film856340.html" TargetMode="External" Id="rId76"/><Relationship Type="http://schemas.openxmlformats.org/officeDocument/2006/relationships/hyperlink" Target="https://letterboxd.com/film/the-strangers-chapter-1/" TargetMode="External" Id="rId77"/><Relationship Type="http://schemas.openxmlformats.org/officeDocument/2006/relationships/hyperlink" Target="https://www.imdb.com/title/tt18412256/" TargetMode="External" Id="rId78"/><Relationship Type="http://schemas.openxmlformats.org/officeDocument/2006/relationships/hyperlink" Target="https://www.filmaffinity.com/es/film621967.html" TargetMode="External" Id="rId79"/><Relationship Type="http://schemas.openxmlformats.org/officeDocument/2006/relationships/hyperlink" Target="https://letterboxd.com/film/alien-romulus/" TargetMode="External" Id="rId80"/><Relationship Type="http://schemas.openxmlformats.org/officeDocument/2006/relationships/hyperlink" Target="https://www.imdb.com/title/tt14539740/" TargetMode="External" Id="rId81"/><Relationship Type="http://schemas.openxmlformats.org/officeDocument/2006/relationships/hyperlink" Target="https://www.filmaffinity.com/es/film941678.html" TargetMode="External" Id="rId82"/><Relationship Type="http://schemas.openxmlformats.org/officeDocument/2006/relationships/hyperlink" Target="https://letterboxd.com/film/godzilla-kong-the-new-empire/" TargetMode="External" Id="rId83"/><Relationship Type="http://schemas.openxmlformats.org/officeDocument/2006/relationships/hyperlink" Target="https://www.imdb.com/title/tt15398776/" TargetMode="External" Id="rId84"/><Relationship Type="http://schemas.openxmlformats.org/officeDocument/2006/relationships/hyperlink" Target="https://www.filmaffinity.com/es/film294474.html" TargetMode="External" Id="rId85"/><Relationship Type="http://schemas.openxmlformats.org/officeDocument/2006/relationships/hyperlink" Target="https://letterboxd.com/film/oppenheimer-2023/" TargetMode="External" Id="rId86"/><Relationship Type="http://schemas.openxmlformats.org/officeDocument/2006/relationships/hyperlink" Target="https://www.imdb.com/title/tt9362722/" TargetMode="External" Id="rId87"/><Relationship Type="http://schemas.openxmlformats.org/officeDocument/2006/relationships/hyperlink" Target="https://www.filmaffinity.com/es/film213653.html" TargetMode="External" Id="rId88"/><Relationship Type="http://schemas.openxmlformats.org/officeDocument/2006/relationships/hyperlink" Target="https://letterboxd.com/film/spider-man-across-the-spider-verse/" TargetMode="External" Id="rId89"/><Relationship Type="http://schemas.openxmlformats.org/officeDocument/2006/relationships/hyperlink" Target="https://www.imdb.com/title/tt1517268/" TargetMode="External" Id="rId90"/><Relationship Type="http://schemas.openxmlformats.org/officeDocument/2006/relationships/hyperlink" Target="https://www.filmaffinity.com/es/film506593.html" TargetMode="External" Id="rId91"/><Relationship Type="http://schemas.openxmlformats.org/officeDocument/2006/relationships/hyperlink" Target="https://letterboxd.com/film/barbie/" TargetMode="External" Id="rId92"/><Relationship Type="http://schemas.openxmlformats.org/officeDocument/2006/relationships/hyperlink" Target="https://www.imdb.com/title/tt27672387/" TargetMode="External" Id="rId93"/><Relationship Type="http://schemas.openxmlformats.org/officeDocument/2006/relationships/hyperlink" Target="https://www.filmaffinity.com/es/film848364.html" TargetMode="External" Id="rId94"/><Relationship Type="http://schemas.openxmlformats.org/officeDocument/2006/relationships/hyperlink" Target="https://letterboxd.com/film/jokes-cigarettes/" TargetMode="External" Id="rId95"/><Relationship Type="http://schemas.openxmlformats.org/officeDocument/2006/relationships/hyperlink" Target="https://www.imdb.com/title/tt9603212/" TargetMode="External" Id="rId96"/><Relationship Type="http://schemas.openxmlformats.org/officeDocument/2006/relationships/hyperlink" Target="https://www.filmaffinity.com/es/film945258.html" TargetMode="External" Id="rId97"/><Relationship Type="http://schemas.openxmlformats.org/officeDocument/2006/relationships/hyperlink" Target="https://letterboxd.com/film/mission-impossible-dead-reckoning/" TargetMode="External" Id="rId98"/><Relationship Type="http://schemas.openxmlformats.org/officeDocument/2006/relationships/hyperlink" Target="https://www.imdb.com/title/tt6718170/" TargetMode="External" Id="rId99"/><Relationship Type="http://schemas.openxmlformats.org/officeDocument/2006/relationships/hyperlink" Target="https://www.filmaffinity.com/es/film520586.html" TargetMode="External" Id="rId100"/><Relationship Type="http://schemas.openxmlformats.org/officeDocument/2006/relationships/hyperlink" Target="https://letterboxd.com/film/the-super-mario-bros-movie/" TargetMode="External" Id="rId101"/><Relationship Type="http://schemas.openxmlformats.org/officeDocument/2006/relationships/hyperlink" Target="https://www.imdb.com/title/tt6791350/" TargetMode="External" Id="rId102"/><Relationship Type="http://schemas.openxmlformats.org/officeDocument/2006/relationships/hyperlink" Target="https://www.filmaffinity.com/es/film144980.html" TargetMode="External" Id="rId103"/><Relationship Type="http://schemas.openxmlformats.org/officeDocument/2006/relationships/hyperlink" Target="https://letterboxd.com/film/guardians-of-the-galaxy-vol-3/" TargetMode="External" Id="rId104"/><Relationship Type="http://schemas.openxmlformats.org/officeDocument/2006/relationships/hyperlink" Target="https://www.imdb.com/title/tt10160976/" TargetMode="External" Id="rId105"/><Relationship Type="http://schemas.openxmlformats.org/officeDocument/2006/relationships/hyperlink" Target="https://www.filmaffinity.com/es/film813397.html" TargetMode="External" Id="rId106"/><Relationship Type="http://schemas.openxmlformats.org/officeDocument/2006/relationships/hyperlink" Target="https://letterboxd.com/film/the-nun-ii/" TargetMode="External" Id="rId107"/><Relationship Type="http://schemas.openxmlformats.org/officeDocument/2006/relationships/hyperlink" Target="https://www.imdb.com/title/tt19175696/" TargetMode="External" Id="rId108"/><Relationship Type="http://schemas.openxmlformats.org/officeDocument/2006/relationships/hyperlink" Target="https://www.filmaffinity.com/es/film702278.html" TargetMode="External" Id="rId109"/><Relationship Type="http://schemas.openxmlformats.org/officeDocument/2006/relationships/hyperlink" Target="https://letterboxd.com/film/sister-death/" TargetMode="External" Id="rId110"/><Relationship Type="http://schemas.openxmlformats.org/officeDocument/2006/relationships/hyperlink" Target="https://www.imdb.com/title/tt13405778/" TargetMode="External" Id="rId111"/><Relationship Type="http://schemas.openxmlformats.org/officeDocument/2006/relationships/hyperlink" Target="https://www.filmaffinity.com/es/film559121.html" TargetMode="External" Id="rId112"/><Relationship Type="http://schemas.openxmlformats.org/officeDocument/2006/relationships/hyperlink" Target="https://letterboxd.com/film/insidious-the-red-door/" TargetMode="External" Id="rId113"/><Relationship Type="http://schemas.openxmlformats.org/officeDocument/2006/relationships/hyperlink" Target="https://www.imdb.com/title/tt10954600/" TargetMode="External" Id="rId114"/><Relationship Type="http://schemas.openxmlformats.org/officeDocument/2006/relationships/hyperlink" Target="https://www.filmaffinity.com/es/film603309.html" TargetMode="External" Id="rId115"/><Relationship Type="http://schemas.openxmlformats.org/officeDocument/2006/relationships/hyperlink" Target="https://letterboxd.com/film/ant-man-and-the-wasp-quantumania/" TargetMode="External" Id="rId116"/><Relationship Type="http://schemas.openxmlformats.org/officeDocument/2006/relationships/hyperlink" Target="https://www.imdb.com/title/tt12921446/" TargetMode="External" Id="rId117"/><Relationship Type="http://schemas.openxmlformats.org/officeDocument/2006/relationships/hyperlink" Target="https://www.filmaffinity.com/es/film779230.html" TargetMode="External" Id="rId118"/><Relationship Type="http://schemas.openxmlformats.org/officeDocument/2006/relationships/hyperlink" Target="https://letterboxd.com/film/the-exorcist-believer/" TargetMode="External" Id="rId119"/><Relationship Type="http://schemas.openxmlformats.org/officeDocument/2006/relationships/hyperlink" Target="https://www.imdb.com/title/tt10676048/" TargetMode="External" Id="rId120"/><Relationship Type="http://schemas.openxmlformats.org/officeDocument/2006/relationships/hyperlink" Target="https://www.filmaffinity.com/es/film685807.html" TargetMode="External" Id="rId121"/><Relationship Type="http://schemas.openxmlformats.org/officeDocument/2006/relationships/hyperlink" Target="https://letterboxd.com/film/the-marvels/" TargetMode="External" Id="rId122"/><Relationship Type="http://schemas.openxmlformats.org/officeDocument/2006/relationships/hyperlink" Target="https://www.imdb.com/title/tt15153532/" TargetMode="External" Id="rId123"/><Relationship Type="http://schemas.openxmlformats.org/officeDocument/2006/relationships/hyperlink" Target="https://www.filmaffinity.com/es/film230381.html" TargetMode="External" Id="rId124"/><Relationship Type="http://schemas.openxmlformats.org/officeDocument/2006/relationships/hyperlink" Target="https://letterboxd.com/film/strays-2023/" TargetMode="External" Id="rId125"/><Relationship Type="http://schemas.openxmlformats.org/officeDocument/2006/relationships/hyperlink" Target="https://www.imdb.com/title/tt21881982/" TargetMode="External" Id="rId126"/><Relationship Type="http://schemas.openxmlformats.org/officeDocument/2006/relationships/hyperlink" Target="https://www.filmaffinity.com/es/film913079.html" TargetMode="External" Id="rId127"/><Relationship Type="http://schemas.openxmlformats.org/officeDocument/2006/relationships/hyperlink" Target="https://letterboxd.com/film/championext/" TargetMode="External" Id="rId128"/><Relationship Type="http://schemas.openxmlformats.org/officeDocument/2006/relationships/hyperlink" Target="https://www.imdb.com/title/tt15006566/" TargetMode="External" Id="rId129"/><Relationship Type="http://schemas.openxmlformats.org/officeDocument/2006/relationships/hyperlink" Target="https://www.filmaffinity.com/es/film227540.html" TargetMode="External" Id="rId130"/><Relationship Type="http://schemas.openxmlformats.org/officeDocument/2006/relationships/hyperlink" Target="https://letterboxd.com/film/the-beasts-2022/" TargetMode="External" Id="rId131"/><Relationship Type="http://schemas.openxmlformats.org/officeDocument/2006/relationships/hyperlink" Target="https://www.imdb.com/title/tt1877830/" TargetMode="External" Id="rId132"/><Relationship Type="http://schemas.openxmlformats.org/officeDocument/2006/relationships/hyperlink" Target="https://www.filmaffinity.com/es/film911057.html" TargetMode="External" Id="rId133"/><Relationship Type="http://schemas.openxmlformats.org/officeDocument/2006/relationships/hyperlink" Target="https://letterboxd.com/film/the-batman/" TargetMode="External" Id="rId134"/><Relationship Type="http://schemas.openxmlformats.org/officeDocument/2006/relationships/hyperlink" Target="https://www.imdb.com/title/tt11564570/" TargetMode="External" Id="rId135"/><Relationship Type="http://schemas.openxmlformats.org/officeDocument/2006/relationships/hyperlink" Target="https://www.filmaffinity.com/es/film716846.html" TargetMode="External" Id="rId136"/><Relationship Type="http://schemas.openxmlformats.org/officeDocument/2006/relationships/hyperlink" Target="https://letterboxd.com/film/glass-onion/" TargetMode="External" Id="rId137"/><Relationship Type="http://schemas.openxmlformats.org/officeDocument/2006/relationships/hyperlink" Target="https://www.imdb.com/title/tt15128358/" TargetMode="External" Id="rId138"/><Relationship Type="http://schemas.openxmlformats.org/officeDocument/2006/relationships/hyperlink" Target="https://www.filmaffinity.com/es/film677826.html" TargetMode="External" Id="rId139"/><Relationship Type="http://schemas.openxmlformats.org/officeDocument/2006/relationships/hyperlink" Target="https://letterboxd.com/film/prison-77/" TargetMode="External" Id="rId140"/><Relationship Type="http://schemas.openxmlformats.org/officeDocument/2006/relationships/hyperlink" Target="https://www.imdb.com/title/tt9764362/" TargetMode="External" Id="rId141"/><Relationship Type="http://schemas.openxmlformats.org/officeDocument/2006/relationships/hyperlink" Target="https://www.filmaffinity.com/es/film774803.html" TargetMode="External" Id="rId142"/><Relationship Type="http://schemas.openxmlformats.org/officeDocument/2006/relationships/hyperlink" Target="https://letterboxd.com/film/the-menu-2022/" TargetMode="External" Id="rId143"/><Relationship Type="http://schemas.openxmlformats.org/officeDocument/2006/relationships/hyperlink" Target="https://www.imdb.com/title/tt16183464/" TargetMode="External" Id="rId144"/><Relationship Type="http://schemas.openxmlformats.org/officeDocument/2006/relationships/hyperlink" Target="https://www.filmaffinity.com/es/film192972.html" TargetMode="External" Id="rId145"/><Relationship Type="http://schemas.openxmlformats.org/officeDocument/2006/relationships/hyperlink" Target="https://letterboxd.com/film/one-piece-film-red/" TargetMode="External" Id="rId146"/><Relationship Type="http://schemas.openxmlformats.org/officeDocument/2006/relationships/hyperlink" Target="https://www.imdb.com/title/tt15474916/" TargetMode="External" Id="rId147"/><Relationship Type="http://schemas.openxmlformats.org/officeDocument/2006/relationships/hyperlink" Target="https://www.filmaffinity.com/es/film441844.html" TargetMode="External" Id="rId148"/><Relationship Type="http://schemas.openxmlformats.org/officeDocument/2006/relationships/hyperlink" Target="https://letterboxd.com/film/smile-2022/" TargetMode="External" Id="rId149"/><Relationship Type="http://schemas.openxmlformats.org/officeDocument/2006/relationships/hyperlink" Target="https://www.imdb.com/title/tt6710474/" TargetMode="External" Id="rId150"/><Relationship Type="http://schemas.openxmlformats.org/officeDocument/2006/relationships/hyperlink" Target="https://www.filmaffinity.com/es/film506901.html" TargetMode="External" Id="rId151"/><Relationship Type="http://schemas.openxmlformats.org/officeDocument/2006/relationships/hyperlink" Target="https://letterboxd.com/film/everything-everywhere-all-at-once/" TargetMode="External" Id="rId152"/><Relationship Type="http://schemas.openxmlformats.org/officeDocument/2006/relationships/hyperlink" Target="https://www.imdb.com/title/tt10648342/" TargetMode="External" Id="rId153"/><Relationship Type="http://schemas.openxmlformats.org/officeDocument/2006/relationships/hyperlink" Target="https://www.filmaffinity.com/es/film255760.html" TargetMode="External" Id="rId154"/><Relationship Type="http://schemas.openxmlformats.org/officeDocument/2006/relationships/hyperlink" Target="https://letterboxd.com/film/thor-love-and-thunder/" TargetMode="External" Id="rId155"/><Relationship Type="http://schemas.openxmlformats.org/officeDocument/2006/relationships/hyperlink" Target="https://www.imdb.com/title/tt11897478/" TargetMode="External" Id="rId156"/><Relationship Type="http://schemas.openxmlformats.org/officeDocument/2006/relationships/hyperlink" Target="https://letterboxd.com/film/the-stranger-2022/" TargetMode="External" Id="rId157"/><Relationship Type="http://schemas.openxmlformats.org/officeDocument/2006/relationships/hyperlink" Target="https://www.imdb.com/title/tt4593060/" TargetMode="External" Id="rId158"/><Relationship Type="http://schemas.openxmlformats.org/officeDocument/2006/relationships/hyperlink" Target="https://www.filmaffinity.com/es/film173607.html" TargetMode="External" Id="rId159"/><Relationship Type="http://schemas.openxmlformats.org/officeDocument/2006/relationships/hyperlink" Target="https://letterboxd.com/film/pinocchio-2022/" TargetMode="External" Id="rId160"/><Relationship Type="http://schemas.openxmlformats.org/officeDocument/2006/relationships/hyperlink" Target="https://www.imdb.com/title/tt14614892/" TargetMode="External" Id="rId161"/><Relationship Type="http://schemas.openxmlformats.org/officeDocument/2006/relationships/hyperlink" Target="https://www.filmaffinity.com/es/film868972.html" TargetMode="External" Id="rId162"/><Relationship Type="http://schemas.openxmlformats.org/officeDocument/2006/relationships/hyperlink" Target="https://letterboxd.com/film/dragon-ball-super-super-hero/" TargetMode="External" Id="rId163"/><Relationship Type="http://schemas.openxmlformats.org/officeDocument/2006/relationships/hyperlink" Target="https://www.imdb.com/title/tt1464335/" TargetMode="External" Id="rId164"/><Relationship Type="http://schemas.openxmlformats.org/officeDocument/2006/relationships/hyperlink" Target="https://www.filmaffinity.com/es/film748908.html" TargetMode="External" Id="rId165"/><Relationship Type="http://schemas.openxmlformats.org/officeDocument/2006/relationships/hyperlink" Target="https://letterboxd.com/film/uncharted-2022/" TargetMode="External" Id="rId166"/><Relationship Type="http://schemas.openxmlformats.org/officeDocument/2006/relationships/hyperlink" Target="https://www.imdb.com/title/tt9114286/" TargetMode="External" Id="rId167"/><Relationship Type="http://schemas.openxmlformats.org/officeDocument/2006/relationships/hyperlink" Target="https://www.filmaffinity.com/es/film299904.html" TargetMode="External" Id="rId168"/><Relationship Type="http://schemas.openxmlformats.org/officeDocument/2006/relationships/hyperlink" Target="https://letterboxd.com/film/black-panther-wakanda-forever/" TargetMode="External" Id="rId169"/><Relationship Type="http://schemas.openxmlformats.org/officeDocument/2006/relationships/hyperlink" Target="https://www.imdb.com/title/tt9419884/" TargetMode="External" Id="rId170"/><Relationship Type="http://schemas.openxmlformats.org/officeDocument/2006/relationships/hyperlink" Target="https://www.filmaffinity.com/es/film563654.html" TargetMode="External" Id="rId171"/><Relationship Type="http://schemas.openxmlformats.org/officeDocument/2006/relationships/hyperlink" Target="https://letterboxd.com/film/doctor-strange-in-the-multiverse-of-madness/" TargetMode="External" Id="rId172"/><Relationship Type="http://schemas.openxmlformats.org/officeDocument/2006/relationships/hyperlink" Target="https://www.imdb.com/title/tt8041270/" TargetMode="External" Id="rId173"/><Relationship Type="http://schemas.openxmlformats.org/officeDocument/2006/relationships/hyperlink" Target="https://www.filmaffinity.com/es/film374795.html" TargetMode="External" Id="rId174"/><Relationship Type="http://schemas.openxmlformats.org/officeDocument/2006/relationships/hyperlink" Target="https://letterboxd.com/film/jurassic-world-dominion/" TargetMode="External" Id="rId175"/><Relationship Type="http://schemas.openxmlformats.org/officeDocument/2006/relationships/hyperlink" Target="https://www.imdb.com/title/tt1160419/" TargetMode="External" Id="rId176"/><Relationship Type="http://schemas.openxmlformats.org/officeDocument/2006/relationships/hyperlink" Target="https://www.filmaffinity.com/es/film847055.html" TargetMode="External" Id="rId177"/><Relationship Type="http://schemas.openxmlformats.org/officeDocument/2006/relationships/hyperlink" Target="https://letterboxd.com/film/dune-2021/" TargetMode="External" Id="rId178"/><Relationship Type="http://schemas.openxmlformats.org/officeDocument/2006/relationships/hyperlink" Target="https://www.imdb.com/title/tt4761112/" TargetMode="External" Id="rId179"/><Relationship Type="http://schemas.openxmlformats.org/officeDocument/2006/relationships/hyperlink" Target="https://www.filmaffinity.com/es/film660089.html" TargetMode="External" Id="rId180"/><Relationship Type="http://schemas.openxmlformats.org/officeDocument/2006/relationships/hyperlink" Target="https://letterboxd.com/film/the-mauritanian/" TargetMode="External" Id="rId181"/><Relationship Type="http://schemas.openxmlformats.org/officeDocument/2006/relationships/hyperlink" Target="https://www.imdb.com/title/tt8721424/" TargetMode="External" Id="rId182"/><Relationship Type="http://schemas.openxmlformats.org/officeDocument/2006/relationships/hyperlink" Target="https://www.filmaffinity.com/es/film441802.html" TargetMode="External" Id="rId183"/><Relationship Type="http://schemas.openxmlformats.org/officeDocument/2006/relationships/hyperlink" Target="https://letterboxd.com/film/tick-tick-boom-2021/" TargetMode="External" Id="rId184"/><Relationship Type="http://schemas.openxmlformats.org/officeDocument/2006/relationships/hyperlink" Target="https://www.imdb.com/title/tt13066182/" TargetMode="External" Id="rId185"/><Relationship Type="http://schemas.openxmlformats.org/officeDocument/2006/relationships/hyperlink" Target="https://www.filmaffinity.com/es/film925403.html" TargetMode="External" Id="rId186"/><Relationship Type="http://schemas.openxmlformats.org/officeDocument/2006/relationships/hyperlink" Target="https://letterboxd.com/film/the-good-boss/" TargetMode="External" Id="rId187"/><Relationship Type="http://schemas.openxmlformats.org/officeDocument/2006/relationships/hyperlink" Target="https://www.imdb.com/title/tt4028464/" TargetMode="External" Id="rId188"/><Relationship Type="http://schemas.openxmlformats.org/officeDocument/2006/relationships/hyperlink" Target="https://www.filmaffinity.com/es/film897184.html" TargetMode="External" Id="rId189"/><Relationship Type="http://schemas.openxmlformats.org/officeDocument/2006/relationships/hyperlink" Target="https://letterboxd.com/film/the-innocents-2021/" TargetMode="External" Id="rId190"/><Relationship Type="http://schemas.openxmlformats.org/officeDocument/2006/relationships/hyperlink" Target="https://www.imdb.com/title/tt11286314/" TargetMode="External" Id="rId191"/><Relationship Type="http://schemas.openxmlformats.org/officeDocument/2006/relationships/hyperlink" Target="https://www.filmaffinity.com/es/film521393.html" TargetMode="External" Id="rId192"/><Relationship Type="http://schemas.openxmlformats.org/officeDocument/2006/relationships/hyperlink" Target="https://letterboxd.com/film/dont-look-up-2021/" TargetMode="External" Id="rId193"/><Relationship Type="http://schemas.openxmlformats.org/officeDocument/2006/relationships/hyperlink" Target="https://www.imdb.com/title/tt12618926/" TargetMode="External" Id="rId194"/><Relationship Type="http://schemas.openxmlformats.org/officeDocument/2006/relationships/hyperlink" Target="https://www.filmaffinity.com/es/film242779.html" TargetMode="External" Id="rId195"/><Relationship Type="http://schemas.openxmlformats.org/officeDocument/2006/relationships/hyperlink" Target="https://letterboxd.com/film/parallel-mothers/" TargetMode="External" Id="rId196"/><Relationship Type="http://schemas.openxmlformats.org/officeDocument/2006/relationships/hyperlink" Target="https://www.imdb.com/title/tt10872600/" TargetMode="External" Id="rId197"/><Relationship Type="http://schemas.openxmlformats.org/officeDocument/2006/relationships/hyperlink" Target="https://www.filmaffinity.com/es/film491812.html" TargetMode="External" Id="rId198"/><Relationship Type="http://schemas.openxmlformats.org/officeDocument/2006/relationships/hyperlink" Target="https://letterboxd.com/film/spider-man-no-way-home/" TargetMode="External" Id="rId199"/><Relationship Type="http://schemas.openxmlformats.org/officeDocument/2006/relationships/hyperlink" Target="https://www.imdb.com/title/tt14077696/" TargetMode="External" Id="rId200"/><Relationship Type="http://schemas.openxmlformats.org/officeDocument/2006/relationships/hyperlink" Target="https://www.filmaffinity.com/es/film375190.html" TargetMode="External" Id="rId201"/><Relationship Type="http://schemas.openxmlformats.org/officeDocument/2006/relationships/hyperlink" Target="https://letterboxd.com/film/maixabel/" TargetMode="External" Id="rId202"/><Relationship Type="http://schemas.openxmlformats.org/officeDocument/2006/relationships/hyperlink" Target="https://www.imdb.com/title/tt2953050/" TargetMode="External" Id="rId203"/><Relationship Type="http://schemas.openxmlformats.org/officeDocument/2006/relationships/hyperlink" Target="https://www.filmaffinity.com/es/film799681.html" TargetMode="External" Id="rId204"/><Relationship Type="http://schemas.openxmlformats.org/officeDocument/2006/relationships/hyperlink" Target="https://letterboxd.com/film/encanto/" TargetMode="External" Id="rId205"/><Relationship Type="http://schemas.openxmlformats.org/officeDocument/2006/relationships/hyperlink" Target="https://www.imdb.com/title/tt11807888/" TargetMode="External" Id="rId206"/><Relationship Type="http://schemas.openxmlformats.org/officeDocument/2006/relationships/hyperlink" Target="https://www.filmaffinity.com/es/film453220.html" TargetMode="External" Id="rId207"/><Relationship Type="http://schemas.openxmlformats.org/officeDocument/2006/relationships/hyperlink" Target="https://letterboxd.com/film/la-abuela-the-grandmother/" TargetMode="External" Id="rId208"/><Relationship Type="http://schemas.openxmlformats.org/officeDocument/2006/relationships/hyperlink" Target="https://www.imdb.com/title/tt3480822/" TargetMode="External" Id="rId209"/><Relationship Type="http://schemas.openxmlformats.org/officeDocument/2006/relationships/hyperlink" Target="https://www.filmaffinity.com/es/film996278.html" TargetMode="External" Id="rId210"/><Relationship Type="http://schemas.openxmlformats.org/officeDocument/2006/relationships/hyperlink" Target="https://letterboxd.com/film/black-widow-2021/" TargetMode="External" Id="rId211"/><Relationship Type="http://schemas.openxmlformats.org/officeDocument/2006/relationships/hyperlink" Target="https://www.imdb.com/title/tt8422726/" TargetMode="External" Id="rId212"/><Relationship Type="http://schemas.openxmlformats.org/officeDocument/2006/relationships/hyperlink" Target="https://www.filmaffinity.com/es/film311375.html" TargetMode="External" Id="rId213"/><Relationship Type="http://schemas.openxmlformats.org/officeDocument/2006/relationships/hyperlink" Target="https://letterboxd.com/film/josephine-2021/" TargetMode="External" Id="rId214"/><Relationship Type="http://schemas.openxmlformats.org/officeDocument/2006/relationships/hyperlink" Target="https://www.imdb.com/title/tt9376612/" TargetMode="External" Id="rId215"/><Relationship Type="http://schemas.openxmlformats.org/officeDocument/2006/relationships/hyperlink" Target="https://www.filmaffinity.com/es/film404534.html" TargetMode="External" Id="rId216"/><Relationship Type="http://schemas.openxmlformats.org/officeDocument/2006/relationships/hyperlink" Target="https://letterboxd.com/film/shang-chi-and-the-legend-of-the-ten-rings/" TargetMode="External" Id="rId217"/><Relationship Type="http://schemas.openxmlformats.org/officeDocument/2006/relationships/hyperlink" Target="https://www.imdb.com/title/tt9032400/" TargetMode="External" Id="rId218"/><Relationship Type="http://schemas.openxmlformats.org/officeDocument/2006/relationships/hyperlink" Target="https://www.filmaffinity.com/es/film185733.html" TargetMode="External" Id="rId219"/><Relationship Type="http://schemas.openxmlformats.org/officeDocument/2006/relationships/hyperlink" Target="https://letterboxd.com/film/eternals/" TargetMode="External" Id="rId220"/><Relationship Type="http://schemas.openxmlformats.org/officeDocument/2006/relationships/hyperlink" Target="https://www.imdb.com/title/tt9845564/" TargetMode="External" Id="rId221"/><Relationship Type="http://schemas.openxmlformats.org/officeDocument/2006/relationships/hyperlink" Target="https://www.filmaffinity.com/es/film994765.html" TargetMode="External" Id="rId222"/><Relationship Type="http://schemas.openxmlformats.org/officeDocument/2006/relationships/hyperlink" Target="https://letterboxd.com/film/below-zero-2021/" TargetMode="External" Id="rId223"/><Relationship Type="http://schemas.openxmlformats.org/officeDocument/2006/relationships/hyperlink" Target="https://www.imdb.com/title/tt6264654/" TargetMode="External" Id="rId224"/><Relationship Type="http://schemas.openxmlformats.org/officeDocument/2006/relationships/hyperlink" Target="https://www.filmaffinity.com/es/film923498.html" TargetMode="External" Id="rId225"/><Relationship Type="http://schemas.openxmlformats.org/officeDocument/2006/relationships/hyperlink" Target="https://letterboxd.com/film/free-guy/" TargetMode="External" Id="rId226"/><Relationship Type="http://schemas.openxmlformats.org/officeDocument/2006/relationships/hyperlink" Target="https://www.imdb.com/title/tt7069210/" TargetMode="External" Id="rId227"/><Relationship Type="http://schemas.openxmlformats.org/officeDocument/2006/relationships/hyperlink" Target="https://www.filmaffinity.com/es/film179254.html" TargetMode="External" Id="rId228"/><Relationship Type="http://schemas.openxmlformats.org/officeDocument/2006/relationships/hyperlink" Target="https://letterboxd.com/film/the-conjuring-the-devil-made-me-do-it/" TargetMode="External" Id="rId229"/><Relationship Type="http://schemas.openxmlformats.org/officeDocument/2006/relationships/hyperlink" Target="https://www.imdb.com/title/tt10944760/" TargetMode="External" Id="rId230"/><Relationship Type="http://schemas.openxmlformats.org/officeDocument/2006/relationships/hyperlink" Target="https://www.filmaffinity.com/es/film391754.html" TargetMode="External" Id="rId231"/><Relationship Type="http://schemas.openxmlformats.org/officeDocument/2006/relationships/hyperlink" Target="https://letterboxd.com/film/titane/" TargetMode="External" Id="rId232"/><Relationship Type="http://schemas.openxmlformats.org/officeDocument/2006/relationships/hyperlink" Target="https://www.imdb.com/title/tt12412166/" TargetMode="External" Id="rId233"/><Relationship Type="http://schemas.openxmlformats.org/officeDocument/2006/relationships/hyperlink" Target="https://www.filmaffinity.com/es/film291745.html" TargetMode="External" Id="rId234"/><Relationship Type="http://schemas.openxmlformats.org/officeDocument/2006/relationships/hyperlink" Target="https://letterboxd.com/film/veneciafrenia/" TargetMode="External" Id="rId235"/><Relationship Type="http://schemas.openxmlformats.org/officeDocument/2006/relationships/hyperlink" Target="https://www.imdb.com/title/tt13150080/" TargetMode="External" Id="rId236"/><Relationship Type="http://schemas.openxmlformats.org/officeDocument/2006/relationships/hyperlink" Target="https://www.filmaffinity.com/es/film136620.html" TargetMode="External" Id="rId237"/><Relationship Type="http://schemas.openxmlformats.org/officeDocument/2006/relationships/hyperlink" Target="https://letterboxd.com/film/the-kids-are-alright-destination-asturias/" TargetMode="External" Id="rId238"/><Relationship Type="http://schemas.openxmlformats.org/officeDocument/2006/relationships/hyperlink" Target="https://www.imdb.com/title/tt9058654/" TargetMode="External" Id="rId239"/><Relationship Type="http://schemas.openxmlformats.org/officeDocument/2006/relationships/hyperlink" Target="https://www.filmaffinity.com/es/film876542.html" TargetMode="External" Id="rId240"/><Relationship Type="http://schemas.openxmlformats.org/officeDocument/2006/relationships/hyperlink" Target="https://letterboxd.com/film/dinner-in-america/" TargetMode="External" Id="rId241"/><Relationship Type="http://schemas.openxmlformats.org/officeDocument/2006/relationships/hyperlink" Target="https://www.imdb.com/title/tt10272386/" TargetMode="External" Id="rId242"/><Relationship Type="http://schemas.openxmlformats.org/officeDocument/2006/relationships/hyperlink" Target="https://www.filmaffinity.com/es/film701512.html" TargetMode="External" Id="rId243"/><Relationship Type="http://schemas.openxmlformats.org/officeDocument/2006/relationships/hyperlink" Target="https://letterboxd.com/film/the-father-2020/" TargetMode="External" Id="rId244"/><Relationship Type="http://schemas.openxmlformats.org/officeDocument/2006/relationships/hyperlink" Target="https://www.imdb.com/title/tt2948372/" TargetMode="External" Id="rId245"/><Relationship Type="http://schemas.openxmlformats.org/officeDocument/2006/relationships/hyperlink" Target="https://www.filmaffinity.com/es/film420392.html" TargetMode="External" Id="rId246"/><Relationship Type="http://schemas.openxmlformats.org/officeDocument/2006/relationships/hyperlink" Target="https://letterboxd.com/film/soul-2020/" TargetMode="External" Id="rId247"/><Relationship Type="http://schemas.openxmlformats.org/officeDocument/2006/relationships/hyperlink" Target="https://www.imdb.com/title/tt10288566/" TargetMode="External" Id="rId248"/><Relationship Type="http://schemas.openxmlformats.org/officeDocument/2006/relationships/hyperlink" Target="https://www.filmaffinity.com/es/film875031.html" TargetMode="External" Id="rId249"/><Relationship Type="http://schemas.openxmlformats.org/officeDocument/2006/relationships/hyperlink" Target="https://letterboxd.com/film/another-round/" TargetMode="External" Id="rId250"/><Relationship Type="http://schemas.openxmlformats.org/officeDocument/2006/relationships/hyperlink" Target="https://www.imdb.com/title/tt6723592/" TargetMode="External" Id="rId251"/><Relationship Type="http://schemas.openxmlformats.org/officeDocument/2006/relationships/hyperlink" Target="https://www.filmaffinity.com/es/film257249.html" TargetMode="External" Id="rId252"/><Relationship Type="http://schemas.openxmlformats.org/officeDocument/2006/relationships/hyperlink" Target="https://letterboxd.com/film/tenet/" TargetMode="External" Id="rId253"/><Relationship Type="http://schemas.openxmlformats.org/officeDocument/2006/relationships/hyperlink" Target="https://www.imdb.com/title/tt4359330/" TargetMode="External" Id="rId254"/><Relationship Type="http://schemas.openxmlformats.org/officeDocument/2006/relationships/hyperlink" Target="https://www.filmaffinity.com/es/film294014.html" TargetMode="External" Id="rId255"/><Relationship Type="http://schemas.openxmlformats.org/officeDocument/2006/relationships/hyperlink" Target="https://letterboxd.com/film/cross-the-line-2020/" TargetMode="External" Id="rId256"/><Relationship Type="http://schemas.openxmlformats.org/officeDocument/2006/relationships/hyperlink" Target="https://www.imdb.com/title/tt11362866/" TargetMode="External" Id="rId257"/><Relationship Type="http://schemas.openxmlformats.org/officeDocument/2006/relationships/hyperlink" Target="https://www.filmaffinity.com/es/film492462.html" TargetMode="External" Id="rId258"/><Relationship Type="http://schemas.openxmlformats.org/officeDocument/2006/relationships/hyperlink" Target="https://letterboxd.com/film/historias-lamentables/" TargetMode="External" Id="rId259"/><Relationship Type="http://schemas.openxmlformats.org/officeDocument/2006/relationships/hyperlink" Target="https://www.imdb.com/title/tt1051906/" TargetMode="External" Id="rId260"/><Relationship Type="http://schemas.openxmlformats.org/officeDocument/2006/relationships/hyperlink" Target="https://www.filmaffinity.com/es/film934181.html" TargetMode="External" Id="rId261"/><Relationship Type="http://schemas.openxmlformats.org/officeDocument/2006/relationships/hyperlink" Target="https://letterboxd.com/film/the-invisible-man-2020/" TargetMode="External" Id="rId262"/><Relationship Type="http://schemas.openxmlformats.org/officeDocument/2006/relationships/hyperlink" Target="https://www.imdb.com/title/tt8936646/" TargetMode="External" Id="rId263"/><Relationship Type="http://schemas.openxmlformats.org/officeDocument/2006/relationships/hyperlink" Target="https://www.filmaffinity.com/es/film320495.html" TargetMode="External" Id="rId264"/><Relationship Type="http://schemas.openxmlformats.org/officeDocument/2006/relationships/hyperlink" Target="https://letterboxd.com/film/extraction-2020/" TargetMode="External" Id="rId265"/><Relationship Type="http://schemas.openxmlformats.org/officeDocument/2006/relationships/hyperlink" Target="https://www.imdb.com/title/tt9620292/" TargetMode="External" Id="rId266"/><Relationship Type="http://schemas.openxmlformats.org/officeDocument/2006/relationships/hyperlink" Target="https://www.filmaffinity.com/es/film552637.html" TargetMode="External" Id="rId267"/><Relationship Type="http://schemas.openxmlformats.org/officeDocument/2006/relationships/hyperlink" Target="https://letterboxd.com/film/promising-young-woman/" TargetMode="External" Id="rId268"/><Relationship Type="http://schemas.openxmlformats.org/officeDocument/2006/relationships/hyperlink" Target="https://www.imdb.com/title/tt7146812/" TargetMode="External" Id="rId269"/><Relationship Type="http://schemas.openxmlformats.org/officeDocument/2006/relationships/hyperlink" Target="https://www.filmaffinity.com/es/film648804.html" TargetMode="External" Id="rId270"/><Relationship Type="http://schemas.openxmlformats.org/officeDocument/2006/relationships/hyperlink" Target="https://letterboxd.com/film/onward-2020/" TargetMode="External" Id="rId271"/><Relationship Type="http://schemas.openxmlformats.org/officeDocument/2006/relationships/hyperlink" Target="https://www.imdb.com/title/tt11028768/" TargetMode="External" Id="rId272"/><Relationship Type="http://schemas.openxmlformats.org/officeDocument/2006/relationships/hyperlink" Target="https://www.filmaffinity.com/es/film523417.html" TargetMode="External" Id="rId273"/><Relationship Type="http://schemas.openxmlformats.org/officeDocument/2006/relationships/hyperlink" Target="https://letterboxd.com/film/the-people-upstairs/" TargetMode="External" Id="rId274"/><Relationship Type="http://schemas.openxmlformats.org/officeDocument/2006/relationships/hyperlink" Target="https://www.imdb.com/title/tt11127690/" TargetMode="External" Id="rId275"/><Relationship Type="http://schemas.openxmlformats.org/officeDocument/2006/relationships/hyperlink" Target="https://www.filmaffinity.com/es/film694694.html" TargetMode="External" Id="rId276"/><Relationship Type="http://schemas.openxmlformats.org/officeDocument/2006/relationships/hyperlink" Target="https://letterboxd.com/film/the-paramedic-2020/" TargetMode="External" Id="rId277"/><Relationship Type="http://schemas.openxmlformats.org/officeDocument/2006/relationships/hyperlink" Target="https://www.imdb.com/title/tt1070874/" TargetMode="External" Id="rId278"/><Relationship Type="http://schemas.openxmlformats.org/officeDocument/2006/relationships/hyperlink" Target="https://www.filmaffinity.com/es/film389985.html" TargetMode="External" Id="rId279"/><Relationship Type="http://schemas.openxmlformats.org/officeDocument/2006/relationships/hyperlink" Target="https://letterboxd.com/film/the-trial-of-the-chicago-7/" TargetMode="External" Id="rId280"/><Relationship Type="http://schemas.openxmlformats.org/officeDocument/2006/relationships/hyperlink" Target="https://www.imdb.com/title/tt9717498/" TargetMode="External" Id="rId281"/><Relationship Type="http://schemas.openxmlformats.org/officeDocument/2006/relationships/hyperlink" Target="https://www.filmaffinity.com/es/film866421.html" TargetMode="External" Id="rId282"/><Relationship Type="http://schemas.openxmlformats.org/officeDocument/2006/relationships/hyperlink" Target="https://letterboxd.com/film/one-for-all/" TargetMode="External" Id="rId283"/><Relationship Type="http://schemas.openxmlformats.org/officeDocument/2006/relationships/hyperlink" Target="https://www.imdb.com/title/tt10434142/" TargetMode="External" Id="rId284"/><Relationship Type="http://schemas.openxmlformats.org/officeDocument/2006/relationships/hyperlink" Target="https://www.filmaffinity.com/es/film779034.html" TargetMode="External" Id="rId285"/><Relationship Type="http://schemas.openxmlformats.org/officeDocument/2006/relationships/hyperlink" Target="https://letterboxd.com/film/schoolgirls/" TargetMode="External" Id="rId286"/><Relationship Type="http://schemas.openxmlformats.org/officeDocument/2006/relationships/hyperlink" Target="https://www.imdb.com/title/tt10127708/" TargetMode="External" Id="rId287"/><Relationship Type="http://schemas.openxmlformats.org/officeDocument/2006/relationships/hyperlink" Target="https://www.filmaffinity.com/es/film674522.html" TargetMode="External" Id="rId288"/><Relationship Type="http://schemas.openxmlformats.org/officeDocument/2006/relationships/hyperlink" Target="https://letterboxd.com/film/valley-of-the-dead-2020/" TargetMode="External" Id="rId289"/><Relationship Type="http://schemas.openxmlformats.org/officeDocument/2006/relationships/hyperlink" Target="https://www.imdb.com/title/tt9072352/" TargetMode="External" Id="rId290"/><Relationship Type="http://schemas.openxmlformats.org/officeDocument/2006/relationships/hyperlink" Target="https://www.filmaffinity.com/es/film179125.html" TargetMode="External" Id="rId291"/><Relationship Type="http://schemas.openxmlformats.org/officeDocument/2006/relationships/hyperlink" Target="https://letterboxd.com/film/relic/" TargetMode="External" Id="rId292"/><Relationship Type="http://schemas.openxmlformats.org/officeDocument/2006/relationships/hyperlink" Target="https://www.imdb.com/title/tt7080422/" TargetMode="External" Id="rId293"/><Relationship Type="http://schemas.openxmlformats.org/officeDocument/2006/relationships/hyperlink" Target="https://www.filmaffinity.com/es/film135198.html" TargetMode="External" Id="rId294"/><Relationship Type="http://schemas.openxmlformats.org/officeDocument/2006/relationships/hyperlink" Target="https://letterboxd.com/film/dragon-rider/" TargetMode="External" Id="rId295"/><Relationship Type="http://schemas.openxmlformats.org/officeDocument/2006/relationships/hyperlink" Target="https://www.imdb.com/title/tt7960322/" TargetMode="External" Id="rId296"/><Relationship Type="http://schemas.openxmlformats.org/officeDocument/2006/relationships/hyperlink" Target="https://www.filmaffinity.com/es/film741584.html" TargetMode="External" Id="rId297"/><Relationship Type="http://schemas.openxmlformats.org/officeDocument/2006/relationships/hyperlink" Target="https://letterboxd.com/film/ane-is-missing/" TargetMode="External" Id="rId298"/><Relationship Type="http://schemas.openxmlformats.org/officeDocument/2006/relationships/hyperlink" Target="https://www.imdb.com/title/tt9345754/" TargetMode="External" Id="rId299"/><Relationship Type="http://schemas.openxmlformats.org/officeDocument/2006/relationships/hyperlink" Target="https://www.filmaffinity.com/es/film143772.html" TargetMode="External" Id="rId300"/><Relationship Type="http://schemas.openxmlformats.org/officeDocument/2006/relationships/hyperlink" Target="https://letterboxd.com/film/the-occupant-2020/" TargetMode="External" Id="rId301"/><Relationship Type="http://schemas.openxmlformats.org/officeDocument/2006/relationships/hyperlink" Target="https://www.imdb.com/title/tt11238932/" TargetMode="External" Id="rId302"/><Relationship Type="http://schemas.openxmlformats.org/officeDocument/2006/relationships/hyperlink" Target="https://www.filmaffinity.com/es/film452718.html" TargetMode="External" Id="rId303"/><Relationship Type="http://schemas.openxmlformats.org/officeDocument/2006/relationships/hyperlink" Target="https://letterboxd.com/film/my-heart-goes-boom/" TargetMode="External" Id="rId304"/><Relationship Type="http://schemas.openxmlformats.org/officeDocument/2006/relationships/hyperlink" Target="https://www.imdb.com/title/tt10978398/" TargetMode="External" Id="rId305"/><Relationship Type="http://schemas.openxmlformats.org/officeDocument/2006/relationships/hyperlink" Target="https://www.filmaffinity.com/es/film806655.html" TargetMode="External" Id="rId306"/><Relationship Type="http://schemas.openxmlformats.org/officeDocument/2006/relationships/hyperlink" Target="https://letterboxd.com/film/sky-high-2020/" TargetMode="External" Id="rId307"/><Relationship Type="http://schemas.openxmlformats.org/officeDocument/2006/relationships/hyperlink" Target="https://www.imdb.com/title/tt3794354/" TargetMode="External" Id="rId308"/><Relationship Type="http://schemas.openxmlformats.org/officeDocument/2006/relationships/hyperlink" Target="https://www.filmaffinity.com/es/film274997.html" TargetMode="External" Id="rId309"/><Relationship Type="http://schemas.openxmlformats.org/officeDocument/2006/relationships/hyperlink" Target="https://letterboxd.com/film/sonic-the-hedgehog/" TargetMode="External" Id="rId310"/><Relationship Type="http://schemas.openxmlformats.org/officeDocument/2006/relationships/hyperlink" Target="https://www.imdb.com/title/tt5096470/" TargetMode="External" Id="rId311"/><Relationship Type="http://schemas.openxmlformats.org/officeDocument/2006/relationships/hyperlink" Target="https://letterboxd.com/film/love-wedding-repeat/" TargetMode="External" Id="rId312"/><Relationship Type="http://schemas.openxmlformats.org/officeDocument/2006/relationships/hyperlink" Target="https://www.imdb.com/title/tt9616700/" TargetMode="External" Id="rId313"/><Relationship Type="http://schemas.openxmlformats.org/officeDocument/2006/relationships/hyperlink" Target="https://www.filmaffinity.com/es/film307683.html" TargetMode="External" Id="rId314"/><Relationship Type="http://schemas.openxmlformats.org/officeDocument/2006/relationships/hyperlink" Target="https://letterboxd.com/film/adu/" TargetMode="External" Id="rId315"/><Relationship Type="http://schemas.openxmlformats.org/officeDocument/2006/relationships/hyperlink" Target="https://www.imdb.com/title/tt8633478/" TargetMode="External" Id="rId316"/><Relationship Type="http://schemas.openxmlformats.org/officeDocument/2006/relationships/hyperlink" Target="https://www.filmaffinity.com/es/film276067.html" TargetMode="External" Id="rId317"/><Relationship Type="http://schemas.openxmlformats.org/officeDocument/2006/relationships/hyperlink" Target="https://letterboxd.com/film/run-2020/" TargetMode="External" Id="rId318"/><Relationship Type="http://schemas.openxmlformats.org/officeDocument/2006/relationships/hyperlink" Target="https://www.imdb.com/title/tt10077544/" TargetMode="External" Id="rId319"/><Relationship Type="http://schemas.openxmlformats.org/officeDocument/2006/relationships/hyperlink" Target="https://www.filmaffinity.com/es/film667484.html" TargetMode="External" Id="rId320"/><Relationship Type="http://schemas.openxmlformats.org/officeDocument/2006/relationships/hyperlink" Target="https://letterboxd.com/film/rosas-wedding/" TargetMode="External" Id="rId321"/><Relationship Type="http://schemas.openxmlformats.org/officeDocument/2006/relationships/hyperlink" Target="https://www.imdb.com/title/tt10952782/" TargetMode="External" Id="rId322"/><Relationship Type="http://schemas.openxmlformats.org/officeDocument/2006/relationships/hyperlink" Target="https://www.filmaffinity.com/es/film573749.html" TargetMode="External" Id="rId323"/><Relationship Type="http://schemas.openxmlformats.org/officeDocument/2006/relationships/hyperlink" Target="https://letterboxd.com/film/32-malasana-street/" TargetMode="External" Id="rId324"/><Relationship Type="http://schemas.openxmlformats.org/officeDocument/2006/relationships/hyperlink" Target="https://www.imdb.com/title/tt9777644/" TargetMode="External" Id="rId325"/><Relationship Type="http://schemas.openxmlformats.org/officeDocument/2006/relationships/hyperlink" Target="https://www.filmaffinity.com/es/film797499.html" TargetMode="External" Id="rId326"/><Relationship Type="http://schemas.openxmlformats.org/officeDocument/2006/relationships/hyperlink" Target="https://letterboxd.com/film/da-5-bloods/" TargetMode="External" Id="rId327"/><Relationship Type="http://schemas.openxmlformats.org/officeDocument/2006/relationships/hyperlink" Target="https://www.imdb.com/title/tt7939766/" TargetMode="External" Id="rId328"/><Relationship Type="http://schemas.openxmlformats.org/officeDocument/2006/relationships/hyperlink" Target="https://www.filmaffinity.com/es/film691240.html" TargetMode="External" Id="rId329"/><Relationship Type="http://schemas.openxmlformats.org/officeDocument/2006/relationships/hyperlink" Target="https://letterboxd.com/film/im-thinking-of-ending-things/" TargetMode="External" Id="rId330"/><Relationship Type="http://schemas.openxmlformats.org/officeDocument/2006/relationships/hyperlink" Target="https://www.imdb.com/title/tt4682266/" TargetMode="External" Id="rId331"/><Relationship Type="http://schemas.openxmlformats.org/officeDocument/2006/relationships/hyperlink" Target="https://www.filmaffinity.com/es/film866473.html" TargetMode="External" Id="rId332"/><Relationship Type="http://schemas.openxmlformats.org/officeDocument/2006/relationships/hyperlink" Target="https://letterboxd.com/film/the-new-mutants/" TargetMode="External" Id="rId333"/><Relationship Type="http://schemas.openxmlformats.org/officeDocument/2006/relationships/hyperlink" Target="https://www.imdb.com/title/tt10886166/" TargetMode="External" Id="rId334"/><Relationship Type="http://schemas.openxmlformats.org/officeDocument/2006/relationships/hyperlink" Target="https://www.filmaffinity.com/es/film590501.html" TargetMode="External" Id="rId335"/><Relationship Type="http://schemas.openxmlformats.org/officeDocument/2006/relationships/hyperlink" Target="https://letterboxd.com/film/365-days-2020/" TargetMode="External" Id="rId336"/><Relationship Type="http://schemas.openxmlformats.org/officeDocument/2006/relationships/hyperlink" Target="https://www.imdb.com/title/tt1552211/" TargetMode="External" Id="rId337"/><Relationship Type="http://schemas.openxmlformats.org/officeDocument/2006/relationships/hyperlink" Target="https://letterboxd.com/film/the-last-days-of-american-crime/" TargetMode="External" Id="rId338"/><Relationship Type="http://schemas.openxmlformats.org/officeDocument/2006/relationships/hyperlink" Target="https://www.imdb.com/title/tt6751668/" TargetMode="External" Id="rId339"/><Relationship Type="http://schemas.openxmlformats.org/officeDocument/2006/relationships/hyperlink" Target="https://www.filmaffinity.com/es/film520465.html" TargetMode="External" Id="rId340"/><Relationship Type="http://schemas.openxmlformats.org/officeDocument/2006/relationships/hyperlink" Target="https://letterboxd.com/film/parasite-2019/" TargetMode="External" Id="rId341"/><Relationship Type="http://schemas.openxmlformats.org/officeDocument/2006/relationships/hyperlink" Target="https://www.imdb.com/title/tt7286456/" TargetMode="External" Id="rId342"/><Relationship Type="http://schemas.openxmlformats.org/officeDocument/2006/relationships/hyperlink" Target="https://www.filmaffinity.com/es/film520214.html" TargetMode="External" Id="rId343"/><Relationship Type="http://schemas.openxmlformats.org/officeDocument/2006/relationships/hyperlink" Target="https://letterboxd.com/film/joker-2019/" TargetMode="External" Id="rId344"/><Relationship Type="http://schemas.openxmlformats.org/officeDocument/2006/relationships/hyperlink" Target="https://www.imdb.com/title/tt4154796/" TargetMode="External" Id="rId345"/><Relationship Type="http://schemas.openxmlformats.org/officeDocument/2006/relationships/hyperlink" Target="https://www.filmaffinity.com/es/film993884.html" TargetMode="External" Id="rId346"/><Relationship Type="http://schemas.openxmlformats.org/officeDocument/2006/relationships/hyperlink" Target="https://letterboxd.com/film/avengers-endgame/" TargetMode="External" Id="rId347"/><Relationship Type="http://schemas.openxmlformats.org/officeDocument/2006/relationships/hyperlink" Target="https://www.imdb.com/title/tt2584384/" TargetMode="External" Id="rId348"/><Relationship Type="http://schemas.openxmlformats.org/officeDocument/2006/relationships/hyperlink" Target="https://www.filmaffinity.com/es/film760663.html" TargetMode="External" Id="rId349"/><Relationship Type="http://schemas.openxmlformats.org/officeDocument/2006/relationships/hyperlink" Target="https://letterboxd.com/film/jojo-rabbit/" TargetMode="External" Id="rId350"/><Relationship Type="http://schemas.openxmlformats.org/officeDocument/2006/relationships/hyperlink" Target="https://www.imdb.com/title/tt9426210/" TargetMode="External" Id="rId351"/><Relationship Type="http://schemas.openxmlformats.org/officeDocument/2006/relationships/hyperlink" Target="https://www.filmaffinity.com/es/film935715.html" TargetMode="External" Id="rId352"/><Relationship Type="http://schemas.openxmlformats.org/officeDocument/2006/relationships/hyperlink" Target="https://letterboxd.com/film/weathering-with-you/" TargetMode="External" Id="rId353"/><Relationship Type="http://schemas.openxmlformats.org/officeDocument/2006/relationships/hyperlink" Target="https://www.imdb.com/title/tt4729430/" TargetMode="External" Id="rId354"/><Relationship Type="http://schemas.openxmlformats.org/officeDocument/2006/relationships/hyperlink" Target="https://www.filmaffinity.com/es/film148968.html" TargetMode="External" Id="rId355"/><Relationship Type="http://schemas.openxmlformats.org/officeDocument/2006/relationships/hyperlink" Target="https://letterboxd.com/film/klaus/" TargetMode="External" Id="rId356"/><Relationship Type="http://schemas.openxmlformats.org/officeDocument/2006/relationships/hyperlink" Target="https://www.imdb.com/title/tt8946378/" TargetMode="External" Id="rId357"/><Relationship Type="http://schemas.openxmlformats.org/officeDocument/2006/relationships/hyperlink" Target="https://www.filmaffinity.com/es/film599723.html" TargetMode="External" Id="rId358"/><Relationship Type="http://schemas.openxmlformats.org/officeDocument/2006/relationships/hyperlink" Target="https://letterboxd.com/film/knives-out-2019/" TargetMode="External" Id="rId359"/><Relationship Type="http://schemas.openxmlformats.org/officeDocument/2006/relationships/hyperlink" Target="https://www.imdb.com/title/tt1979376/" TargetMode="External" Id="rId360"/><Relationship Type="http://schemas.openxmlformats.org/officeDocument/2006/relationships/hyperlink" Target="https://www.filmaffinity.com/es/film160410.html" TargetMode="External" Id="rId361"/><Relationship Type="http://schemas.openxmlformats.org/officeDocument/2006/relationships/hyperlink" Target="https://letterboxd.com/film/toy-story-4/" TargetMode="External" Id="rId362"/><Relationship Type="http://schemas.openxmlformats.org/officeDocument/2006/relationships/hyperlink" Target="https://www.imdb.com/title/tt8772262/" TargetMode="External" Id="rId363"/><Relationship Type="http://schemas.openxmlformats.org/officeDocument/2006/relationships/hyperlink" Target="https://www.filmaffinity.com/es/film599419.html" TargetMode="External" Id="rId364"/><Relationship Type="http://schemas.openxmlformats.org/officeDocument/2006/relationships/hyperlink" Target="https://letterboxd.com/film/midsommar/" TargetMode="External" Id="rId365"/><Relationship Type="http://schemas.openxmlformats.org/officeDocument/2006/relationships/hyperlink" Target="https://www.imdb.com/title/tt8291806/" TargetMode="External" Id="rId366"/><Relationship Type="http://schemas.openxmlformats.org/officeDocument/2006/relationships/hyperlink" Target="https://www.filmaffinity.com/es/film970971.html" TargetMode="External" Id="rId367"/><Relationship Type="http://schemas.openxmlformats.org/officeDocument/2006/relationships/hyperlink" Target="https://letterboxd.com/film/pain-and-glory/" TargetMode="External" Id="rId368"/><Relationship Type="http://schemas.openxmlformats.org/officeDocument/2006/relationships/hyperlink" Target="https://www.imdb.com/title/tt8579674/" TargetMode="External" Id="rId369"/><Relationship Type="http://schemas.openxmlformats.org/officeDocument/2006/relationships/hyperlink" Target="https://www.filmaffinity.com/es/film145446.html" TargetMode="External" Id="rId370"/><Relationship Type="http://schemas.openxmlformats.org/officeDocument/2006/relationships/hyperlink" Target="https://letterboxd.com/film/1917/" TargetMode="External" Id="rId371"/><Relationship Type="http://schemas.openxmlformats.org/officeDocument/2006/relationships/hyperlink" Target="https://www.imdb.com/title/tt10384744/" TargetMode="External" Id="rId372"/><Relationship Type="http://schemas.openxmlformats.org/officeDocument/2006/relationships/hyperlink" Target="https://www.filmaffinity.com/es/film988821.html" TargetMode="External" Id="rId373"/><Relationship Type="http://schemas.openxmlformats.org/officeDocument/2006/relationships/hyperlink" Target="https://letterboxd.com/film/heroic-losers/" TargetMode="External" Id="rId374"/><Relationship Type="http://schemas.openxmlformats.org/officeDocument/2006/relationships/hyperlink" Target="https://www.imdb.com/title/tt7937168/" TargetMode="External" Id="rId375"/><Relationship Type="http://schemas.openxmlformats.org/officeDocument/2006/relationships/hyperlink" Target="https://www.filmaffinity.com/es/film565820.html" TargetMode="External" Id="rId376"/><Relationship Type="http://schemas.openxmlformats.org/officeDocument/2006/relationships/hyperlink" Target="https://letterboxd.com/film/the-endless-trench/" TargetMode="External" Id="rId377"/><Relationship Type="http://schemas.openxmlformats.org/officeDocument/2006/relationships/hyperlink" Target="https://www.imdb.com/title/tt7967412/" TargetMode="External" Id="rId378"/><Relationship Type="http://schemas.openxmlformats.org/officeDocument/2006/relationships/hyperlink" Target="https://www.filmaffinity.com/es/film713289.html" TargetMode="External" Id="rId379"/><Relationship Type="http://schemas.openxmlformats.org/officeDocument/2006/relationships/hyperlink" Target="https://letterboxd.com/film/eye-for-an-eye-2019/" TargetMode="External" Id="rId380"/><Relationship Type="http://schemas.openxmlformats.org/officeDocument/2006/relationships/hyperlink" Target="https://www.imdb.com/title/tt7131622/" TargetMode="External" Id="rId381"/><Relationship Type="http://schemas.openxmlformats.org/officeDocument/2006/relationships/hyperlink" Target="https://www.filmaffinity.com/es/film169177.html" TargetMode="External" Id="rId382"/><Relationship Type="http://schemas.openxmlformats.org/officeDocument/2006/relationships/hyperlink" Target="https://letterboxd.com/film/once-upon-a-time-in-hollywood/" TargetMode="External" Id="rId383"/><Relationship Type="http://schemas.openxmlformats.org/officeDocument/2006/relationships/hyperlink" Target="https://www.imdb.com/title/tt7818580/" TargetMode="External" Id="rId384"/><Relationship Type="http://schemas.openxmlformats.org/officeDocument/2006/relationships/hyperlink" Target="https://www.filmaffinity.com/es/film557902.html" TargetMode="External" Id="rId385"/><Relationship Type="http://schemas.openxmlformats.org/officeDocument/2006/relationships/hyperlink" Target="https://letterboxd.com/film/while-at-war/" TargetMode="External" Id="rId386"/><Relationship Type="http://schemas.openxmlformats.org/officeDocument/2006/relationships/hyperlink" Target="https://www.imdb.com/title/tt9063902/" TargetMode="External" Id="rId387"/><Relationship Type="http://schemas.openxmlformats.org/officeDocument/2006/relationships/hyperlink" Target="https://www.filmaffinity.com/es/film268500.html" TargetMode="External" Id="rId388"/><Relationship Type="http://schemas.openxmlformats.org/officeDocument/2006/relationships/hyperlink" Target="https://letterboxd.com/film/live-twice-love-once/" TargetMode="External" Id="rId389"/><Relationship Type="http://schemas.openxmlformats.org/officeDocument/2006/relationships/hyperlink" Target="https://www.imdb.com/title/tt7557108/" TargetMode="External" Id="rId390"/><Relationship Type="http://schemas.openxmlformats.org/officeDocument/2006/relationships/hyperlink" Target="https://www.filmaffinity.com/es/film326267.html" TargetMode="External" Id="rId391"/><Relationship Type="http://schemas.openxmlformats.org/officeDocument/2006/relationships/hyperlink" Target="https://letterboxd.com/film/saint-maud/" TargetMode="External" Id="rId392"/><Relationship Type="http://schemas.openxmlformats.org/officeDocument/2006/relationships/hyperlink" Target="https://www.imdb.com/title/tt8649186/" TargetMode="External" Id="rId393"/><Relationship Type="http://schemas.openxmlformats.org/officeDocument/2006/relationships/hyperlink" Target="https://www.filmaffinity.com/es/film115913.html" TargetMode="External" Id="rId394"/><Relationship Type="http://schemas.openxmlformats.org/officeDocument/2006/relationships/hyperlink" Target="https://letterboxd.com/film/corpus-christi-2019/" TargetMode="External" Id="rId395"/><Relationship Type="http://schemas.openxmlformats.org/officeDocument/2006/relationships/hyperlink" Target="https://www.imdb.com/title/tt5431890/" TargetMode="External" Id="rId396"/><Relationship Type="http://schemas.openxmlformats.org/officeDocument/2006/relationships/hyperlink" Target="https://www.filmaffinity.com/es/film625997.html" TargetMode="External" Id="rId397"/><Relationship Type="http://schemas.openxmlformats.org/officeDocument/2006/relationships/hyperlink" Target="https://letterboxd.com/film/official-secrets/" TargetMode="External" Id="rId398"/><Relationship Type="http://schemas.openxmlformats.org/officeDocument/2006/relationships/hyperlink" Target="https://www.imdb.com/title/tt8079248/" TargetMode="External" Id="rId399"/><Relationship Type="http://schemas.openxmlformats.org/officeDocument/2006/relationships/hyperlink" Target="https://www.filmaffinity.com/es/film358100.html" TargetMode="External" Id="rId400"/><Relationship Type="http://schemas.openxmlformats.org/officeDocument/2006/relationships/hyperlink" Target="https://letterboxd.com/film/yesterday-2019/" TargetMode="External" Id="rId401"/><Relationship Type="http://schemas.openxmlformats.org/officeDocument/2006/relationships/hyperlink" Target="https://www.imdb.com/title/tt0437086/" TargetMode="External" Id="rId402"/><Relationship Type="http://schemas.openxmlformats.org/officeDocument/2006/relationships/hyperlink" Target="https://www.filmaffinity.com/es/film504830.html" TargetMode="External" Id="rId403"/><Relationship Type="http://schemas.openxmlformats.org/officeDocument/2006/relationships/hyperlink" Target="https://letterboxd.com/film/alita-battle-angel/" TargetMode="External" Id="rId404"/><Relationship Type="http://schemas.openxmlformats.org/officeDocument/2006/relationships/hyperlink" Target="https://www.imdb.com/title/tt1302006/" TargetMode="External" Id="rId405"/><Relationship Type="http://schemas.openxmlformats.org/officeDocument/2006/relationships/hyperlink" Target="https://www.filmaffinity.com/es/film325196.html" TargetMode="External" Id="rId406"/><Relationship Type="http://schemas.openxmlformats.org/officeDocument/2006/relationships/hyperlink" Target="https://letterboxd.com/film/the-irishman-2019/" TargetMode="External" Id="rId407"/><Relationship Type="http://schemas.openxmlformats.org/officeDocument/2006/relationships/hyperlink" Target="https://www.imdb.com/title/tt6803046/" TargetMode="External" Id="rId408"/><Relationship Type="http://schemas.openxmlformats.org/officeDocument/2006/relationships/hyperlink" Target="https://www.filmaffinity.com/es/film826435.html" TargetMode="External" Id="rId409"/><Relationship Type="http://schemas.openxmlformats.org/officeDocument/2006/relationships/hyperlink" Target="https://letterboxd.com/film/the-vast-of-night/" TargetMode="External" Id="rId410"/><Relationship Type="http://schemas.openxmlformats.org/officeDocument/2006/relationships/hyperlink" Target="https://www.imdb.com/title/tt6320628/" TargetMode="External" Id="rId411"/><Relationship Type="http://schemas.openxmlformats.org/officeDocument/2006/relationships/hyperlink" Target="https://www.filmaffinity.com/es/film978970.html" TargetMode="External" Id="rId412"/><Relationship Type="http://schemas.openxmlformats.org/officeDocument/2006/relationships/hyperlink" Target="https://letterboxd.com/film/spider-man-far-from-home/" TargetMode="External" Id="rId413"/><Relationship Type="http://schemas.openxmlformats.org/officeDocument/2006/relationships/hyperlink" Target="https://www.imdb.com/title/tt8155288/" TargetMode="External" Id="rId414"/><Relationship Type="http://schemas.openxmlformats.org/officeDocument/2006/relationships/hyperlink" Target="https://www.filmaffinity.com/es/film504311.html" TargetMode="External" Id="rId415"/><Relationship Type="http://schemas.openxmlformats.org/officeDocument/2006/relationships/hyperlink" Target="https://letterboxd.com/film/happy-death-day-2u/" TargetMode="External" Id="rId416"/><Relationship Type="http://schemas.openxmlformats.org/officeDocument/2006/relationships/hyperlink" Target="https://www.imdb.com/title/tt8228288/" TargetMode="External" Id="rId417"/><Relationship Type="http://schemas.openxmlformats.org/officeDocument/2006/relationships/hyperlink" Target="https://www.filmaffinity.com/es/film427424.html" TargetMode="External" Id="rId418"/><Relationship Type="http://schemas.openxmlformats.org/officeDocument/2006/relationships/hyperlink" Target="https://letterboxd.com/film/the-platform/" TargetMode="External" Id="rId419"/><Relationship Type="http://schemas.openxmlformats.org/officeDocument/2006/relationships/hyperlink" Target="https://www.imdb.com/title/tt8367814/" TargetMode="External" Id="rId420"/><Relationship Type="http://schemas.openxmlformats.org/officeDocument/2006/relationships/hyperlink" Target="https://www.filmaffinity.com/es/film558045.html" TargetMode="External" Id="rId421"/><Relationship Type="http://schemas.openxmlformats.org/officeDocument/2006/relationships/hyperlink" Target="https://letterboxd.com/film/the-gentlemen/" TargetMode="External" Id="rId422"/><Relationship Type="http://schemas.openxmlformats.org/officeDocument/2006/relationships/hyperlink" Target="https://www.imdb.com/title/tt6857112/" TargetMode="External" Id="rId423"/><Relationship Type="http://schemas.openxmlformats.org/officeDocument/2006/relationships/hyperlink" Target="https://www.filmaffinity.com/es/film511558.html" TargetMode="External" Id="rId424"/><Relationship Type="http://schemas.openxmlformats.org/officeDocument/2006/relationships/hyperlink" Target="https://letterboxd.com/film/us-2019/" TargetMode="External" Id="rId425"/><Relationship Type="http://schemas.openxmlformats.org/officeDocument/2006/relationships/hyperlink" Target="https://www.imdb.com/title/tt6902676/" TargetMode="External" Id="rId426"/><Relationship Type="http://schemas.openxmlformats.org/officeDocument/2006/relationships/hyperlink" Target="https://www.filmaffinity.com/es/film988474.html" TargetMode="External" Id="rId427"/><Relationship Type="http://schemas.openxmlformats.org/officeDocument/2006/relationships/hyperlink" Target="https://letterboxd.com/film/guns-akimbo/" TargetMode="External" Id="rId428"/><Relationship Type="http://schemas.openxmlformats.org/officeDocument/2006/relationships/hyperlink" Target="https://www.imdb.com/title/tt7975244/" TargetMode="External" Id="rId429"/><Relationship Type="http://schemas.openxmlformats.org/officeDocument/2006/relationships/hyperlink" Target="https://www.filmaffinity.com/es/film926682.html" TargetMode="External" Id="rId430"/><Relationship Type="http://schemas.openxmlformats.org/officeDocument/2006/relationships/hyperlink" Target="https://letterboxd.com/film/jumanji-the-next-level/" TargetMode="External" Id="rId431"/><Relationship Type="http://schemas.openxmlformats.org/officeDocument/2006/relationships/hyperlink" Target="https://www.imdb.com/title/tt2527338/" TargetMode="External" Id="rId432"/><Relationship Type="http://schemas.openxmlformats.org/officeDocument/2006/relationships/hyperlink" Target="https://www.filmaffinity.com/es/film738787.html" TargetMode="External" Id="rId433"/><Relationship Type="http://schemas.openxmlformats.org/officeDocument/2006/relationships/hyperlink" Target="https://letterboxd.com/film/star-wars-the-rise-of-skywalker/" TargetMode="External" Id="rId434"/><Relationship Type="http://schemas.openxmlformats.org/officeDocument/2006/relationships/hyperlink" Target="https://www.imdb.com/title/tt4154664/" TargetMode="External" Id="rId435"/><Relationship Type="http://schemas.openxmlformats.org/officeDocument/2006/relationships/hyperlink" Target="https://www.filmaffinity.com/es/film347261.html" TargetMode="External" Id="rId436"/><Relationship Type="http://schemas.openxmlformats.org/officeDocument/2006/relationships/hyperlink" Target="https://letterboxd.com/film/captain-marvel/" TargetMode="External" Id="rId437"/><Relationship Type="http://schemas.openxmlformats.org/officeDocument/2006/relationships/hyperlink" Target="https://www.imdb.com/title/tt7349950/" TargetMode="External" Id="rId438"/><Relationship Type="http://schemas.openxmlformats.org/officeDocument/2006/relationships/hyperlink" Target="https://www.filmaffinity.com/es/film610683.html" TargetMode="External" Id="rId439"/><Relationship Type="http://schemas.openxmlformats.org/officeDocument/2006/relationships/hyperlink" Target="https://letterboxd.com/film/it-chapter-two/" TargetMode="External" Id="rId440"/><Relationship Type="http://schemas.openxmlformats.org/officeDocument/2006/relationships/hyperlink" Target="https://www.imdb.com/title/tt6977338/" TargetMode="External" Id="rId441"/><Relationship Type="http://schemas.openxmlformats.org/officeDocument/2006/relationships/hyperlink" Target="https://www.filmaffinity.com/es/film492753.html" TargetMode="External" Id="rId442"/><Relationship Type="http://schemas.openxmlformats.org/officeDocument/2006/relationships/hyperlink" Target="https://letterboxd.com/film/good-boys-2019/" TargetMode="External" Id="rId443"/><Relationship Type="http://schemas.openxmlformats.org/officeDocument/2006/relationships/hyperlink" Target="https://www.imdb.com/title/tt8106534/" TargetMode="External" Id="rId444"/><Relationship Type="http://schemas.openxmlformats.org/officeDocument/2006/relationships/hyperlink" Target="https://www.filmaffinity.com/es/film145466.html" TargetMode="External" Id="rId445"/><Relationship Type="http://schemas.openxmlformats.org/officeDocument/2006/relationships/hyperlink" Target="https://letterboxd.com/film/6-underground/" TargetMode="External" Id="rId446"/><Relationship Type="http://schemas.openxmlformats.org/officeDocument/2006/relationships/hyperlink" Target="https://www.imdb.com/title/tt9427166/" TargetMode="External" Id="rId447"/><Relationship Type="http://schemas.openxmlformats.org/officeDocument/2006/relationships/hyperlink" Target="https://www.filmaffinity.com/es/film917170.html" TargetMode="External" Id="rId448"/><Relationship Type="http://schemas.openxmlformats.org/officeDocument/2006/relationships/hyperlink" Target="https://letterboxd.com/film/father-there-is-only-one/" TargetMode="External" Id="rId449"/><Relationship Type="http://schemas.openxmlformats.org/officeDocument/2006/relationships/hyperlink" Target="https://www.imdb.com/title/tt9150970/" TargetMode="External" Id="rId450"/><Relationship Type="http://schemas.openxmlformats.org/officeDocument/2006/relationships/hyperlink" Target="https://www.filmaffinity.com/es/film962939.html" TargetMode="External" Id="rId451"/><Relationship Type="http://schemas.openxmlformats.org/officeDocument/2006/relationships/hyperlink" Target="https://letterboxd.com/film/despite-everything-2019/" TargetMode="External" Id="rId452"/><Relationship Type="http://schemas.openxmlformats.org/officeDocument/2006/relationships/hyperlink" Target="https://www.imdb.com/title/tt4154756/" TargetMode="External" Id="rId453"/><Relationship Type="http://schemas.openxmlformats.org/officeDocument/2006/relationships/hyperlink" Target="https://www.filmaffinity.com/es/film827414.html" TargetMode="External" Id="rId454"/><Relationship Type="http://schemas.openxmlformats.org/officeDocument/2006/relationships/hyperlink" Target="https://letterboxd.com/film/avengers-infinity-war/" TargetMode="External" Id="rId455"/><Relationship Type="http://schemas.openxmlformats.org/officeDocument/2006/relationships/hyperlink" Target="https://www.imdb.com/title/tt6966692/" TargetMode="External" Id="rId456"/><Relationship Type="http://schemas.openxmlformats.org/officeDocument/2006/relationships/hyperlink" Target="https://www.filmaffinity.com/es/film710220.html" TargetMode="External" Id="rId457"/><Relationship Type="http://schemas.openxmlformats.org/officeDocument/2006/relationships/hyperlink" Target="https://letterboxd.com/film/green-book/" TargetMode="External" Id="rId458"/><Relationship Type="http://schemas.openxmlformats.org/officeDocument/2006/relationships/hyperlink" Target="https://www.imdb.com/title/tt4633694/" TargetMode="External" Id="rId459"/><Relationship Type="http://schemas.openxmlformats.org/officeDocument/2006/relationships/hyperlink" Target="https://www.filmaffinity.com/es/film773389.html" TargetMode="External" Id="rId460"/><Relationship Type="http://schemas.openxmlformats.org/officeDocument/2006/relationships/hyperlink" Target="https://letterboxd.com/film/spider-man-into-the-spider-verse/" TargetMode="External" Id="rId461"/><Relationship Type="http://schemas.openxmlformats.org/officeDocument/2006/relationships/hyperlink" Target="https://www.imdb.com/title/tt6793580/" TargetMode="External" Id="rId462"/><Relationship Type="http://schemas.openxmlformats.org/officeDocument/2006/relationships/hyperlink" Target="https://www.filmaffinity.com/es/film206800.html" TargetMode="External" Id="rId463"/><Relationship Type="http://schemas.openxmlformats.org/officeDocument/2006/relationships/hyperlink" Target="https://letterboxd.com/film/champions-2018/" TargetMode="External" Id="rId464"/><Relationship Type="http://schemas.openxmlformats.org/officeDocument/2006/relationships/hyperlink" Target="https://www.imdb.com/title/tt7095482/" TargetMode="External" Id="rId465"/><Relationship Type="http://schemas.openxmlformats.org/officeDocument/2006/relationships/hyperlink" Target="https://www.filmaffinity.com/es/film140455.html" TargetMode="External" Id="rId466"/><Relationship Type="http://schemas.openxmlformats.org/officeDocument/2006/relationships/hyperlink" Target="https://letterboxd.com/film/the-realm-2018/" TargetMode="External" Id="rId467"/><Relationship Type="http://schemas.openxmlformats.org/officeDocument/2006/relationships/hyperlink" Target="https://www.imdb.com/title/tt2967856/" TargetMode="External" Id="rId468"/><Relationship Type="http://schemas.openxmlformats.org/officeDocument/2006/relationships/hyperlink" Target="https://www.filmaffinity.com/es/film588749.html" TargetMode="External" Id="rId469"/><Relationship Type="http://schemas.openxmlformats.org/officeDocument/2006/relationships/hyperlink" Target="https://letterboxd.com/film/another-day-of-life/" TargetMode="External" Id="rId470"/><Relationship Type="http://schemas.openxmlformats.org/officeDocument/2006/relationships/hyperlink" Target="https://www.imdb.com/title/tt7961060/" TargetMode="External" Id="rId471"/><Relationship Type="http://schemas.openxmlformats.org/officeDocument/2006/relationships/hyperlink" Target="https://www.filmaffinity.com/es/film418996.html" TargetMode="External" Id="rId472"/><Relationship Type="http://schemas.openxmlformats.org/officeDocument/2006/relationships/hyperlink" Target="https://letterboxd.com/film/dragon-ball-super-broly/" TargetMode="External" Id="rId473"/><Relationship Type="http://schemas.openxmlformats.org/officeDocument/2006/relationships/hyperlink" Target="https://www.imdb.com/title/tt1727824/" TargetMode="External" Id="rId474"/><Relationship Type="http://schemas.openxmlformats.org/officeDocument/2006/relationships/hyperlink" Target="https://www.filmaffinity.com/es/film486640.html" TargetMode="External" Id="rId475"/><Relationship Type="http://schemas.openxmlformats.org/officeDocument/2006/relationships/hyperlink" Target="https://letterboxd.com/film/bohemian-rhapsody/" TargetMode="External" Id="rId476"/><Relationship Type="http://schemas.openxmlformats.org/officeDocument/2006/relationships/hyperlink" Target="https://www.imdb.com/title/tt4964788/" TargetMode="External" Id="rId477"/><Relationship Type="http://schemas.openxmlformats.org/officeDocument/2006/relationships/hyperlink" Target="https://www.filmaffinity.com/es/film441748.html" TargetMode="External" Id="rId478"/><Relationship Type="http://schemas.openxmlformats.org/officeDocument/2006/relationships/hyperlink" Target="https://letterboxd.com/film/everybody-knows/" TargetMode="External" Id="rId479"/><Relationship Type="http://schemas.openxmlformats.org/officeDocument/2006/relationships/hyperlink" Target="https://www.imdb.com/title/tt3289724/" TargetMode="External" Id="rId480"/><Relationship Type="http://schemas.openxmlformats.org/officeDocument/2006/relationships/hyperlink" Target="https://www.filmaffinity.com/es/film486524.html" TargetMode="External" Id="rId481"/><Relationship Type="http://schemas.openxmlformats.org/officeDocument/2006/relationships/hyperlink" Target="https://letterboxd.com/film/welcome-to-marwen/" TargetMode="External" Id="rId482"/><Relationship Type="http://schemas.openxmlformats.org/officeDocument/2006/relationships/hyperlink" Target="https://www.imdb.com/title/tt7784604/" TargetMode="External" Id="rId483"/><Relationship Type="http://schemas.openxmlformats.org/officeDocument/2006/relationships/hyperlink" Target="https://www.filmaffinity.com/es/film118012.html" TargetMode="External" Id="rId484"/><Relationship Type="http://schemas.openxmlformats.org/officeDocument/2006/relationships/hyperlink" Target="https://letterboxd.com/film/hereditary/" TargetMode="External" Id="rId485"/><Relationship Type="http://schemas.openxmlformats.org/officeDocument/2006/relationships/hyperlink" Target="https://www.imdb.com/title/tt6644200/" TargetMode="External" Id="rId486"/><Relationship Type="http://schemas.openxmlformats.org/officeDocument/2006/relationships/hyperlink" Target="https://www.filmaffinity.com/es/film594338.html" TargetMode="External" Id="rId487"/><Relationship Type="http://schemas.openxmlformats.org/officeDocument/2006/relationships/hyperlink" Target="https://letterboxd.com/film/a-quiet-place-2018/" TargetMode="External" Id="rId488"/><Relationship Type="http://schemas.openxmlformats.org/officeDocument/2006/relationships/hyperlink" Target="https://www.imdb.com/title/tt1517451/" TargetMode="External" Id="rId489"/><Relationship Type="http://schemas.openxmlformats.org/officeDocument/2006/relationships/hyperlink" Target="https://www.filmaffinity.com/es/film684177.html" TargetMode="External" Id="rId490"/><Relationship Type="http://schemas.openxmlformats.org/officeDocument/2006/relationships/hyperlink" Target="https://letterboxd.com/film/a-star-is-born-2018/" TargetMode="External" Id="rId491"/><Relationship Type="http://schemas.openxmlformats.org/officeDocument/2006/relationships/hyperlink" Target="https://www.imdb.com/title/tt7349662/" TargetMode="External" Id="rId492"/><Relationship Type="http://schemas.openxmlformats.org/officeDocument/2006/relationships/hyperlink" Target="https://www.filmaffinity.com/es/film697936.html" TargetMode="External" Id="rId493"/><Relationship Type="http://schemas.openxmlformats.org/officeDocument/2006/relationships/hyperlink" Target="https://letterboxd.com/film/blackkklansman/" TargetMode="External" Id="rId494"/><Relationship Type="http://schemas.openxmlformats.org/officeDocument/2006/relationships/hyperlink" Target="https://www.imdb.com/title/tt5052474/" TargetMode="External" Id="rId495"/><Relationship Type="http://schemas.openxmlformats.org/officeDocument/2006/relationships/hyperlink" Target="https://www.filmaffinity.com/es/film108537.html" TargetMode="External" Id="rId496"/><Relationship Type="http://schemas.openxmlformats.org/officeDocument/2006/relationships/hyperlink" Target="https://letterboxd.com/film/sicario-day-of-the-soldado/" TargetMode="External" Id="rId497"/><Relationship Type="http://schemas.openxmlformats.org/officeDocument/2006/relationships/hyperlink" Target="https://www.imdb.com/title/tt6343314/" TargetMode="External" Id="rId498"/><Relationship Type="http://schemas.openxmlformats.org/officeDocument/2006/relationships/hyperlink" Target="https://www.filmaffinity.com/es/film121870.html" TargetMode="External" Id="rId499"/><Relationship Type="http://schemas.openxmlformats.org/officeDocument/2006/relationships/hyperlink" Target="https://letterboxd.com/film/creed-ii/" TargetMode="External" Id="rId500"/><Relationship Type="http://schemas.openxmlformats.org/officeDocument/2006/relationships/hyperlink" Target="https://www.imdb.com/title/tt1677720/" TargetMode="External" Id="rId501"/><Relationship Type="http://schemas.openxmlformats.org/officeDocument/2006/relationships/hyperlink" Target="https://www.filmaffinity.com/es/film750408.html" TargetMode="External" Id="rId502"/><Relationship Type="http://schemas.openxmlformats.org/officeDocument/2006/relationships/hyperlink" Target="https://letterboxd.com/film/ready-player-one/" TargetMode="External" Id="rId503"/><Relationship Type="http://schemas.openxmlformats.org/officeDocument/2006/relationships/hyperlink" Target="https://www.imdb.com/title/tt5774450/" TargetMode="External" Id="rId504"/><Relationship Type="http://schemas.openxmlformats.org/officeDocument/2006/relationships/hyperlink" Target="https://www.filmaffinity.com/es/film169814.html" TargetMode="External" Id="rId505"/><Relationship Type="http://schemas.openxmlformats.org/officeDocument/2006/relationships/hyperlink" Target="https://letterboxd.com/film/summer-of-84/" TargetMode="External" Id="rId506"/><Relationship Type="http://schemas.openxmlformats.org/officeDocument/2006/relationships/hyperlink" Target="https://www.imdb.com/title/tt6502956/" TargetMode="External" Id="rId507"/><Relationship Type="http://schemas.openxmlformats.org/officeDocument/2006/relationships/hyperlink" Target="https://www.filmaffinity.com/es/film557244.html" TargetMode="External" Id="rId508"/><Relationship Type="http://schemas.openxmlformats.org/officeDocument/2006/relationships/hyperlink" Target="https://letterboxd.com/film/yucatan-2018/" TargetMode="External" Id="rId509"/><Relationship Type="http://schemas.openxmlformats.org/officeDocument/2006/relationships/hyperlink" Target="https://www.imdb.com/title/tt3778644/" TargetMode="External" Id="rId510"/><Relationship Type="http://schemas.openxmlformats.org/officeDocument/2006/relationships/hyperlink" Target="https://www.filmaffinity.com/es/film113810.html" TargetMode="External" Id="rId511"/><Relationship Type="http://schemas.openxmlformats.org/officeDocument/2006/relationships/hyperlink" Target="https://letterboxd.com/film/solo-a-star-wars-story/" TargetMode="External" Id="rId512"/><Relationship Type="http://schemas.openxmlformats.org/officeDocument/2006/relationships/hyperlink" Target="https://www.imdb.com/title/tt1825683/" TargetMode="External" Id="rId513"/><Relationship Type="http://schemas.openxmlformats.org/officeDocument/2006/relationships/hyperlink" Target="https://www.filmaffinity.com/es/film805562.html" TargetMode="External" Id="rId514"/><Relationship Type="http://schemas.openxmlformats.org/officeDocument/2006/relationships/hyperlink" Target="https://letterboxd.com/film/black-panther/" TargetMode="External" Id="rId515"/><Relationship Type="http://schemas.openxmlformats.org/officeDocument/2006/relationships/hyperlink" Target="https://www.imdb.com/title/tt1270797/" TargetMode="External" Id="rId516"/><Relationship Type="http://schemas.openxmlformats.org/officeDocument/2006/relationships/hyperlink" Target="https://www.filmaffinity.com/es/film122208.html" TargetMode="External" Id="rId517"/><Relationship Type="http://schemas.openxmlformats.org/officeDocument/2006/relationships/hyperlink" Target="https://letterboxd.com/film/venom-2018/" TargetMode="External" Id="rId518"/><Relationship Type="http://schemas.openxmlformats.org/officeDocument/2006/relationships/hyperlink" Target="https://www.imdb.com/title/tt5153288/" TargetMode="External" Id="rId519"/><Relationship Type="http://schemas.openxmlformats.org/officeDocument/2006/relationships/hyperlink" Target="https://www.filmaffinity.com/es/film249946.html" TargetMode="External" Id="rId520"/><Relationship Type="http://schemas.openxmlformats.org/officeDocument/2006/relationships/hyperlink" Target="https://letterboxd.com/film/backstabbing-for-beginners/" TargetMode="External" Id="rId521"/><Relationship Type="http://schemas.openxmlformats.org/officeDocument/2006/relationships/hyperlink" Target="https://www.imdb.com/title/tt5095030/" TargetMode="External" Id="rId522"/><Relationship Type="http://schemas.openxmlformats.org/officeDocument/2006/relationships/hyperlink" Target="https://www.filmaffinity.com/es/film941845.html" TargetMode="External" Id="rId523"/><Relationship Type="http://schemas.openxmlformats.org/officeDocument/2006/relationships/hyperlink" Target="https://letterboxd.com/film/ant-man-and-the-wasp/" TargetMode="External" Id="rId524"/><Relationship Type="http://schemas.openxmlformats.org/officeDocument/2006/relationships/hyperlink" Target="https://www.imdb.com/title/tt4761916/" TargetMode="External" Id="rId525"/><Relationship Type="http://schemas.openxmlformats.org/officeDocument/2006/relationships/hyperlink" Target="https://www.filmaffinity.com/es/film834261.html" TargetMode="External" Id="rId526"/><Relationship Type="http://schemas.openxmlformats.org/officeDocument/2006/relationships/hyperlink" Target="https://letterboxd.com/film/unfriended-dark-web/" TargetMode="External" Id="rId527"/><Relationship Type="http://schemas.openxmlformats.org/officeDocument/2006/relationships/hyperlink" Target="https://www.imdb.com/title/tt6772950/" TargetMode="External" Id="rId528"/><Relationship Type="http://schemas.openxmlformats.org/officeDocument/2006/relationships/hyperlink" Target="https://www.filmaffinity.com/es/film139856.html" TargetMode="External" Id="rId529"/><Relationship Type="http://schemas.openxmlformats.org/officeDocument/2006/relationships/hyperlink" Target="https://letterboxd.com/film/truth-or-dare-2018/" TargetMode="External" Id="rId530"/><Relationship Type="http://schemas.openxmlformats.org/officeDocument/2006/relationships/hyperlink" Target="https://www.imdb.com/title/tt5734576/" TargetMode="External" Id="rId531"/><Relationship Type="http://schemas.openxmlformats.org/officeDocument/2006/relationships/hyperlink" Target="https://www.filmaffinity.com/es/film161948.html" TargetMode="External" Id="rId532"/><Relationship Type="http://schemas.openxmlformats.org/officeDocument/2006/relationships/hyperlink" Target="https://letterboxd.com/film/the-possession-of-hannah-grace/" TargetMode="External" Id="rId533"/><Relationship Type="http://schemas.openxmlformats.org/officeDocument/2006/relationships/hyperlink" Target="https://www.imdb.com/title/tt6133466/" TargetMode="External" Id="rId534"/><Relationship Type="http://schemas.openxmlformats.org/officeDocument/2006/relationships/hyperlink" Target="https://www.filmaffinity.com/es/film188962.html" TargetMode="External" Id="rId535"/><Relationship Type="http://schemas.openxmlformats.org/officeDocument/2006/relationships/hyperlink" Target="https://letterboxd.com/film/the-first-purge/" TargetMode="External" Id="rId536"/><Relationship Type="http://schemas.openxmlformats.org/officeDocument/2006/relationships/hyperlink" Target="https://www.imdb.com/title/tt1502407/" TargetMode="External" Id="rId537"/><Relationship Type="http://schemas.openxmlformats.org/officeDocument/2006/relationships/hyperlink" Target="https://www.filmaffinity.com/es/film122880.html" TargetMode="External" Id="rId538"/><Relationship Type="http://schemas.openxmlformats.org/officeDocument/2006/relationships/hyperlink" Target="https://letterboxd.com/film/halloween-2018/" TargetMode="External" Id="rId539"/><Relationship Type="http://schemas.openxmlformats.org/officeDocument/2006/relationships/hyperlink" Target="https://www.imdb.com/title/tt1308728/" TargetMode="External" Id="rId540"/><Relationship Type="http://schemas.openxmlformats.org/officeDocument/2006/relationships/hyperlink" Target="https://www.filmaffinity.com/es/film901247.html" TargetMode="External" Id="rId541"/><Relationship Type="http://schemas.openxmlformats.org/officeDocument/2006/relationships/hyperlink" Target="https://letterboxd.com/film/the-happytime-murders/" TargetMode="External" Id="rId542"/><Relationship Type="http://schemas.openxmlformats.org/officeDocument/2006/relationships/hyperlink" Target="https://www.imdb.com/title/tt7679126/" TargetMode="External" Id="rId543"/><Relationship Type="http://schemas.openxmlformats.org/officeDocument/2006/relationships/hyperlink" Target="https://www.filmaffinity.com/es/film898380.html" TargetMode="External" Id="rId544"/><Relationship Type="http://schemas.openxmlformats.org/officeDocument/2006/relationships/hyperlink" Target="https://letterboxd.com/film/the-best-summer-of-my-life/" TargetMode="External" Id="rId545"/><Relationship Type="http://schemas.openxmlformats.org/officeDocument/2006/relationships/hyperlink" Target="https://www.imdb.com/title/tt5726086/" TargetMode="External" Id="rId546"/><Relationship Type="http://schemas.openxmlformats.org/officeDocument/2006/relationships/hyperlink" Target="https://www.filmaffinity.com/es/film806070.html" TargetMode="External" Id="rId547"/><Relationship Type="http://schemas.openxmlformats.org/officeDocument/2006/relationships/hyperlink" Target="https://letterboxd.com/film/insidious-the-last-key/" TargetMode="External" Id="rId548"/><Relationship Type="http://schemas.openxmlformats.org/officeDocument/2006/relationships/hyperlink" Target="https://www.imdb.com/title/tt5814060/" TargetMode="External" Id="rId549"/><Relationship Type="http://schemas.openxmlformats.org/officeDocument/2006/relationships/hyperlink" Target="https://www.filmaffinity.com/es/film211433.html" TargetMode="External" Id="rId550"/><Relationship Type="http://schemas.openxmlformats.org/officeDocument/2006/relationships/hyperlink" Target="https://letterboxd.com/film/the-nun-2018/" TargetMode="External" Id="rId551"/><Relationship Type="http://schemas.openxmlformats.org/officeDocument/2006/relationships/hyperlink" Target="https://www.imdb.com/title/tt4779682/" TargetMode="External" Id="rId552"/><Relationship Type="http://schemas.openxmlformats.org/officeDocument/2006/relationships/hyperlink" Target="https://www.filmaffinity.com/es/film558874.html" TargetMode="External" Id="rId553"/><Relationship Type="http://schemas.openxmlformats.org/officeDocument/2006/relationships/hyperlink" Target="https://letterboxd.com/film/the-meg/" TargetMode="External" Id="rId554"/><Relationship Type="http://schemas.openxmlformats.org/officeDocument/2006/relationships/hyperlink" Target="https://www.imdb.com/title/tt7313518/" TargetMode="External" Id="rId555"/><Relationship Type="http://schemas.openxmlformats.org/officeDocument/2006/relationships/hyperlink" Target="https://www.filmaffinity.com/es/film899299.html" TargetMode="External" Id="rId556"/><Relationship Type="http://schemas.openxmlformats.org/officeDocument/2006/relationships/hyperlink" Target="https://letterboxd.com/film/growing-up-2018/" TargetMode="External" Id="rId557"/><Relationship Type="http://schemas.openxmlformats.org/officeDocument/2006/relationships/hyperlink" Target="https://www.imdb.com/title/tt1856101/" TargetMode="External" Id="rId558"/><Relationship Type="http://schemas.openxmlformats.org/officeDocument/2006/relationships/hyperlink" Target="https://www.filmaffinity.com/es/film236626.html" TargetMode="External" Id="rId559"/><Relationship Type="http://schemas.openxmlformats.org/officeDocument/2006/relationships/hyperlink" Target="https://letterboxd.com/film/blade-runner-2049/" TargetMode="External" Id="rId560"/><Relationship Type="http://schemas.openxmlformats.org/officeDocument/2006/relationships/hyperlink" Target="https://www.imdb.com/title/tt3262342/" TargetMode="External" Id="rId561"/><Relationship Type="http://schemas.openxmlformats.org/officeDocument/2006/relationships/hyperlink" Target="https://www.filmaffinity.com/es/film302768.html" TargetMode="External" Id="rId562"/><Relationship Type="http://schemas.openxmlformats.org/officeDocument/2006/relationships/hyperlink" Target="https://letterboxd.com/film/loving-vincent/" TargetMode="External" Id="rId563"/><Relationship Type="http://schemas.openxmlformats.org/officeDocument/2006/relationships/hyperlink" Target="https://www.imdb.com/title/tt1396484/" TargetMode="External" Id="rId564"/><Relationship Type="http://schemas.openxmlformats.org/officeDocument/2006/relationships/hyperlink" Target="https://www.filmaffinity.com/es/film312346.html" TargetMode="External" Id="rId565"/><Relationship Type="http://schemas.openxmlformats.org/officeDocument/2006/relationships/hyperlink" Target="https://letterboxd.com/film/it-2017/" TargetMode="External" Id="rId566"/><Relationship Type="http://schemas.openxmlformats.org/officeDocument/2006/relationships/hyperlink" Target="https://www.imdb.com/title/tt5052448/" TargetMode="External" Id="rId567"/><Relationship Type="http://schemas.openxmlformats.org/officeDocument/2006/relationships/hyperlink" Target="https://www.filmaffinity.com/es/film642856.html" TargetMode="External" Id="rId568"/><Relationship Type="http://schemas.openxmlformats.org/officeDocument/2006/relationships/hyperlink" Target="https://letterboxd.com/film/get-out-2017/" TargetMode="External" Id="rId569"/><Relationship Type="http://schemas.openxmlformats.org/officeDocument/2006/relationships/hyperlink" Target="https://www.imdb.com/title/tt5886440/" TargetMode="External" Id="rId570"/><Relationship Type="http://schemas.openxmlformats.org/officeDocument/2006/relationships/hyperlink" Target="https://www.filmaffinity.com/es/film551842.html" TargetMode="External" Id="rId571"/><Relationship Type="http://schemas.openxmlformats.org/officeDocument/2006/relationships/hyperlink" Target="https://letterboxd.com/film/marrowbone/" TargetMode="External" Id="rId572"/><Relationship Type="http://schemas.openxmlformats.org/officeDocument/2006/relationships/hyperlink" Target="https://www.imdb.com/title/tt5013056/" TargetMode="External" Id="rId573"/><Relationship Type="http://schemas.openxmlformats.org/officeDocument/2006/relationships/hyperlink" Target="https://www.filmaffinity.com/es/film895384.html" TargetMode="External" Id="rId574"/><Relationship Type="http://schemas.openxmlformats.org/officeDocument/2006/relationships/hyperlink" Target="https://letterboxd.com/film/dunkirk-2017/" TargetMode="External" Id="rId575"/><Relationship Type="http://schemas.openxmlformats.org/officeDocument/2006/relationships/hyperlink" Target="https://www.imdb.com/title/tt4555426/" TargetMode="External" Id="rId576"/><Relationship Type="http://schemas.openxmlformats.org/officeDocument/2006/relationships/hyperlink" Target="https://www.filmaffinity.com/es/film821742.html" TargetMode="External" Id="rId577"/><Relationship Type="http://schemas.openxmlformats.org/officeDocument/2006/relationships/hyperlink" Target="https://letterboxd.com/film/darkest-hour/" TargetMode="External" Id="rId578"/><Relationship Type="http://schemas.openxmlformats.org/officeDocument/2006/relationships/hyperlink" Target="https://www.imdb.com/title/tt2380307/" TargetMode="External" Id="rId579"/><Relationship Type="http://schemas.openxmlformats.org/officeDocument/2006/relationships/hyperlink" Target="https://www.filmaffinity.com/es/film893369.html" TargetMode="External" Id="rId580"/><Relationship Type="http://schemas.openxmlformats.org/officeDocument/2006/relationships/hyperlink" Target="https://letterboxd.com/film/coco-2017/" TargetMode="External" Id="rId581"/><Relationship Type="http://schemas.openxmlformats.org/officeDocument/2006/relationships/hyperlink" Target="https://www.imdb.com/title/tt1485796/" TargetMode="External" Id="rId582"/><Relationship Type="http://schemas.openxmlformats.org/officeDocument/2006/relationships/hyperlink" Target="https://www.filmaffinity.com/es/film739284.html" TargetMode="External" Id="rId583"/><Relationship Type="http://schemas.openxmlformats.org/officeDocument/2006/relationships/hyperlink" Target="https://letterboxd.com/film/the-greatest-showman/" TargetMode="External" Id="rId584"/><Relationship Type="http://schemas.openxmlformats.org/officeDocument/2006/relationships/hyperlink" Target="https://www.imdb.com/title/tt2283362/" TargetMode="External" Id="rId585"/><Relationship Type="http://schemas.openxmlformats.org/officeDocument/2006/relationships/hyperlink" Target="https://www.filmaffinity.com/es/film740753.html" TargetMode="External" Id="rId586"/><Relationship Type="http://schemas.openxmlformats.org/officeDocument/2006/relationships/hyperlink" Target="https://letterboxd.com/film/jumanji-welcome-to-the-jungle/" TargetMode="External" Id="rId587"/><Relationship Type="http://schemas.openxmlformats.org/officeDocument/2006/relationships/hyperlink" Target="https://www.imdb.com/title/tt3896198/" TargetMode="External" Id="rId588"/><Relationship Type="http://schemas.openxmlformats.org/officeDocument/2006/relationships/hyperlink" Target="https://www.filmaffinity.com/es/film406284.html" TargetMode="External" Id="rId589"/><Relationship Type="http://schemas.openxmlformats.org/officeDocument/2006/relationships/hyperlink" Target="https://letterboxd.com/film/guardians-of-the-galaxy-vol-2/" TargetMode="External" Id="rId590"/><Relationship Type="http://schemas.openxmlformats.org/officeDocument/2006/relationships/hyperlink" Target="https://www.imdb.com/title/tt3501632/" TargetMode="External" Id="rId591"/><Relationship Type="http://schemas.openxmlformats.org/officeDocument/2006/relationships/hyperlink" Target="https://www.filmaffinity.com/es/film546383.html" TargetMode="External" Id="rId592"/><Relationship Type="http://schemas.openxmlformats.org/officeDocument/2006/relationships/hyperlink" Target="https://letterboxd.com/film/thor-ragnarok/" TargetMode="External" Id="rId593"/><Relationship Type="http://schemas.openxmlformats.org/officeDocument/2006/relationships/hyperlink" Target="https://www.imdb.com/title/tt4717402/" TargetMode="External" Id="rId594"/><Relationship Type="http://schemas.openxmlformats.org/officeDocument/2006/relationships/hyperlink" Target="https://letterboxd.com/film/mfkz/" TargetMode="External" Id="rId595"/><Relationship Type="http://schemas.openxmlformats.org/officeDocument/2006/relationships/hyperlink" Target="https://www.imdb.com/title/tt4995790/" TargetMode="External" Id="rId596"/><Relationship Type="http://schemas.openxmlformats.org/officeDocument/2006/relationships/hyperlink" Target="https://www.filmaffinity.com/es/film664294.html" TargetMode="External" Id="rId597"/><Relationship Type="http://schemas.openxmlformats.org/officeDocument/2006/relationships/hyperlink" Target="https://letterboxd.com/film/the-square-2017/" TargetMode="External" Id="rId598"/><Relationship Type="http://schemas.openxmlformats.org/officeDocument/2006/relationships/hyperlink" Target="https://www.imdb.com/title/tt6060156/" TargetMode="External" Id="rId599"/><Relationship Type="http://schemas.openxmlformats.org/officeDocument/2006/relationships/hyperlink" Target="https://www.filmaffinity.com/es/film142470.html" TargetMode="External" Id="rId600"/><Relationship Type="http://schemas.openxmlformats.org/officeDocument/2006/relationships/hyperlink" Target="https://letterboxd.com/film/toc-toc-2017/" TargetMode="External" Id="rId601"/><Relationship Type="http://schemas.openxmlformats.org/officeDocument/2006/relationships/hyperlink" Target="https://www.imdb.com/title/tt5862312/" TargetMode="External" Id="rId602"/><Relationship Type="http://schemas.openxmlformats.org/officeDocument/2006/relationships/hyperlink" Target="https://www.filmaffinity.com/es/film716361.html" TargetMode="External" Id="rId603"/><Relationship Type="http://schemas.openxmlformats.org/officeDocument/2006/relationships/hyperlink" Target="https://letterboxd.com/film/veronica-2017-1/" TargetMode="External" Id="rId604"/><Relationship Type="http://schemas.openxmlformats.org/officeDocument/2006/relationships/hyperlink" Target="https://www.imdb.com/title/tt4649466/" TargetMode="External" Id="rId605"/><Relationship Type="http://schemas.openxmlformats.org/officeDocument/2006/relationships/hyperlink" Target="https://www.filmaffinity.com/es/film828541.html" TargetMode="External" Id="rId606"/><Relationship Type="http://schemas.openxmlformats.org/officeDocument/2006/relationships/hyperlink" Target="https://letterboxd.com/film/kingsman-the-golden-circle/" TargetMode="External" Id="rId607"/><Relationship Type="http://schemas.openxmlformats.org/officeDocument/2006/relationships/hyperlink" Target="https://www.imdb.com/title/tt5541240/" TargetMode="External" Id="rId608"/><Relationship Type="http://schemas.openxmlformats.org/officeDocument/2006/relationships/hyperlink" Target="https://www.filmaffinity.com/es/film301219.html" TargetMode="External" Id="rId609"/><Relationship Type="http://schemas.openxmlformats.org/officeDocument/2006/relationships/hyperlink" Target="https://letterboxd.com/film/to-the-bone-2017/" TargetMode="External" Id="rId610"/><Relationship Type="http://schemas.openxmlformats.org/officeDocument/2006/relationships/hyperlink" Target="https://www.imdb.com/title/tt2527336/" TargetMode="External" Id="rId611"/><Relationship Type="http://schemas.openxmlformats.org/officeDocument/2006/relationships/hyperlink" Target="https://www.filmaffinity.com/es/film668878.html" TargetMode="External" Id="rId612"/><Relationship Type="http://schemas.openxmlformats.org/officeDocument/2006/relationships/hyperlink" Target="https://letterboxd.com/film/star-wars-the-last-jedi/" TargetMode="External" Id="rId613"/><Relationship Type="http://schemas.openxmlformats.org/officeDocument/2006/relationships/hyperlink" Target="https://www.imdb.com/title/tt2250912/" TargetMode="External" Id="rId614"/><Relationship Type="http://schemas.openxmlformats.org/officeDocument/2006/relationships/hyperlink" Target="https://www.filmaffinity.com/es/film478990.html" TargetMode="External" Id="rId615"/><Relationship Type="http://schemas.openxmlformats.org/officeDocument/2006/relationships/hyperlink" Target="https://letterboxd.com/film/spider-man-homecoming/" TargetMode="External" Id="rId616"/><Relationship Type="http://schemas.openxmlformats.org/officeDocument/2006/relationships/hyperlink" Target="https://www.imdb.com/title/tt5308322/" TargetMode="External" Id="rId617"/><Relationship Type="http://schemas.openxmlformats.org/officeDocument/2006/relationships/hyperlink" Target="https://www.filmaffinity.com/es/film724026.html" TargetMode="External" Id="rId618"/><Relationship Type="http://schemas.openxmlformats.org/officeDocument/2006/relationships/hyperlink" Target="https://letterboxd.com/film/happy-death-day/" TargetMode="External" Id="rId619"/><Relationship Type="http://schemas.openxmlformats.org/officeDocument/2006/relationships/hyperlink" Target="https://www.imdb.com/title/tt6101820/" TargetMode="External" Id="rId620"/><Relationship Type="http://schemas.openxmlformats.org/officeDocument/2006/relationships/hyperlink" Target="https://www.filmaffinity.com/es/film914473.html" TargetMode="External" Id="rId621"/><Relationship Type="http://schemas.openxmlformats.org/officeDocument/2006/relationships/hyperlink" Target="https://letterboxd.com/film/perfect-strangers-2017/" TargetMode="External" Id="rId622"/><Relationship Type="http://schemas.openxmlformats.org/officeDocument/2006/relationships/hyperlink" Target="https://www.imdb.com/title/tt5742374/" TargetMode="External" Id="rId623"/><Relationship Type="http://schemas.openxmlformats.org/officeDocument/2006/relationships/hyperlink" Target="https://www.filmaffinity.com/es/film865711.html" TargetMode="External" Id="rId624"/><Relationship Type="http://schemas.openxmlformats.org/officeDocument/2006/relationships/hyperlink" Target="https://letterboxd.com/film/you-were-never-really-here/" TargetMode="External" Id="rId625"/><Relationship Type="http://schemas.openxmlformats.org/officeDocument/2006/relationships/hyperlink" Target="https://www.imdb.com/title/tt6895746/" TargetMode="External" Id="rId626"/><Relationship Type="http://schemas.openxmlformats.org/officeDocument/2006/relationships/hyperlink" Target="https://www.filmaffinity.com/es/film412112.html" TargetMode="External" Id="rId627"/><Relationship Type="http://schemas.openxmlformats.org/officeDocument/2006/relationships/hyperlink" Target="https://letterboxd.com/film/bomb-scared/" TargetMode="External" Id="rId628"/><Relationship Type="http://schemas.openxmlformats.org/officeDocument/2006/relationships/hyperlink" Target="https://www.imdb.com/title/tt4815122/" TargetMode="External" Id="rId629"/><Relationship Type="http://schemas.openxmlformats.org/officeDocument/2006/relationships/hyperlink" Target="https://www.filmaffinity.com/es/film767940.html" TargetMode="External" Id="rId630"/><Relationship Type="http://schemas.openxmlformats.org/officeDocument/2006/relationships/hyperlink" Target="https://letterboxd.com/film/time-trap-2017/" TargetMode="External" Id="rId631"/><Relationship Type="http://schemas.openxmlformats.org/officeDocument/2006/relationships/hyperlink" Target="https://www.imdb.com/title/tt6214928/" TargetMode="External" Id="rId632"/><Relationship Type="http://schemas.openxmlformats.org/officeDocument/2006/relationships/hyperlink" Target="https://www.filmaffinity.com/es/film674787.html" TargetMode="External" Id="rId633"/><Relationship Type="http://schemas.openxmlformats.org/officeDocument/2006/relationships/hyperlink" Target="https://letterboxd.com/film/1922-2017/" TargetMode="External" Id="rId634"/><Relationship Type="http://schemas.openxmlformats.org/officeDocument/2006/relationships/hyperlink" Target="https://www.imdb.com/title/tt3469046/" TargetMode="External" Id="rId635"/><Relationship Type="http://schemas.openxmlformats.org/officeDocument/2006/relationships/hyperlink" Target="https://www.filmaffinity.com/es/film572937.html" TargetMode="External" Id="rId636"/><Relationship Type="http://schemas.openxmlformats.org/officeDocument/2006/relationships/hyperlink" Target="https://letterboxd.com/film/despicable-me-3/" TargetMode="External" Id="rId637"/><Relationship Type="http://schemas.openxmlformats.org/officeDocument/2006/relationships/hyperlink" Target="https://www.imdb.com/title/tt5991410/" TargetMode="External" Id="rId638"/><Relationship Type="http://schemas.openxmlformats.org/officeDocument/2006/relationships/hyperlink" Target="https://www.filmaffinity.com/es/film928908.html" TargetMode="External" Id="rId639"/><Relationship Type="http://schemas.openxmlformats.org/officeDocument/2006/relationships/hyperlink" Target="https://letterboxd.com/film/lord-give-me-patience/" TargetMode="External" Id="rId640"/><Relationship Type="http://schemas.openxmlformats.org/officeDocument/2006/relationships/hyperlink" Target="https://www.imdb.com/title/tt6048930/" TargetMode="External" Id="rId641"/><Relationship Type="http://schemas.openxmlformats.org/officeDocument/2006/relationships/hyperlink" Target="https://www.filmaffinity.com/es/film134980.html" TargetMode="External" Id="rId642"/><Relationship Type="http://schemas.openxmlformats.org/officeDocument/2006/relationships/hyperlink" Target="https://letterboxd.com/film/naked-2017/" TargetMode="External" Id="rId643"/><Relationship Type="http://schemas.openxmlformats.org/officeDocument/2006/relationships/hyperlink" Target="https://www.imdb.com/title/tt3498820/" TargetMode="External" Id="rId644"/><Relationship Type="http://schemas.openxmlformats.org/officeDocument/2006/relationships/hyperlink" Target="https://www.filmaffinity.com/es/film712492.html" TargetMode="External" Id="rId645"/><Relationship Type="http://schemas.openxmlformats.org/officeDocument/2006/relationships/hyperlink" Target="https://letterboxd.com/film/captain-america-civil-war/" TargetMode="External" Id="rId646"/><Relationship Type="http://schemas.openxmlformats.org/officeDocument/2006/relationships/hyperlink" Target="https://www.imdb.com/title/tt5311514/" TargetMode="External" Id="rId647"/><Relationship Type="http://schemas.openxmlformats.org/officeDocument/2006/relationships/hyperlink" Target="https://www.filmaffinity.com/es/film307521.html" TargetMode="External" Id="rId648"/><Relationship Type="http://schemas.openxmlformats.org/officeDocument/2006/relationships/hyperlink" Target="https://letterboxd.com/film/your-name/" TargetMode="External" Id="rId649"/><Relationship Type="http://schemas.openxmlformats.org/officeDocument/2006/relationships/hyperlink" Target="https://www.imdb.com/title/tt5810584/" TargetMode="External" Id="rId650"/><Relationship Type="http://schemas.openxmlformats.org/officeDocument/2006/relationships/hyperlink" Target="https://www.imdb.com/title/tt2119532/" TargetMode="External" Id="rId651"/><Relationship Type="http://schemas.openxmlformats.org/officeDocument/2006/relationships/hyperlink" Target="https://www.filmaffinity.com/es/film550924.html" TargetMode="External" Id="rId652"/><Relationship Type="http://schemas.openxmlformats.org/officeDocument/2006/relationships/hyperlink" Target="https://letterboxd.com/film/hacksaw-ridge/" TargetMode="External" Id="rId653"/><Relationship Type="http://schemas.openxmlformats.org/officeDocument/2006/relationships/hyperlink" Target="https://www.imdb.com/title/tt4034228/" TargetMode="External" Id="rId654"/><Relationship Type="http://schemas.openxmlformats.org/officeDocument/2006/relationships/hyperlink" Target="https://www.filmaffinity.com/es/film531382.html" TargetMode="External" Id="rId655"/><Relationship Type="http://schemas.openxmlformats.org/officeDocument/2006/relationships/hyperlink" Target="https://letterboxd.com/film/manchester-by-the-sea/" TargetMode="External" Id="rId656"/><Relationship Type="http://schemas.openxmlformats.org/officeDocument/2006/relationships/hyperlink" Target="https://www.imdb.com/title/tt3065204/" TargetMode="External" Id="rId657"/><Relationship Type="http://schemas.openxmlformats.org/officeDocument/2006/relationships/hyperlink" Target="https://www.filmaffinity.com/es/film854782.html" TargetMode="External" Id="rId658"/><Relationship Type="http://schemas.openxmlformats.org/officeDocument/2006/relationships/hyperlink" Target="https://letterboxd.com/film/the-conjuring-2/" TargetMode="External" Id="rId659"/><Relationship Type="http://schemas.openxmlformats.org/officeDocument/2006/relationships/hyperlink" Target="https://www.imdb.com/title/tt4972582/" TargetMode="External" Id="rId660"/><Relationship Type="http://schemas.openxmlformats.org/officeDocument/2006/relationships/hyperlink" Target="https://www.filmaffinity.com/es/film992586.html" TargetMode="External" Id="rId661"/><Relationship Type="http://schemas.openxmlformats.org/officeDocument/2006/relationships/hyperlink" Target="https://letterboxd.com/film/split-2016/" TargetMode="External" Id="rId662"/><Relationship Type="http://schemas.openxmlformats.org/officeDocument/2006/relationships/hyperlink" Target="https://www.imdb.com/title/tt4771896/" TargetMode="External" Id="rId663"/><Relationship Type="http://schemas.openxmlformats.org/officeDocument/2006/relationships/hyperlink" Target="https://www.filmaffinity.com/es/film509296.html" TargetMode="External" Id="rId664"/><Relationship Type="http://schemas.openxmlformats.org/officeDocument/2006/relationships/hyperlink" Target="https://letterboxd.com/film/the-fury-of-a-patient-man/" TargetMode="External" Id="rId665"/><Relationship Type="http://schemas.openxmlformats.org/officeDocument/2006/relationships/hyperlink" Target="https://www.imdb.com/title/tt4944596/" TargetMode="External" Id="rId666"/><Relationship Type="http://schemas.openxmlformats.org/officeDocument/2006/relationships/hyperlink" Target="https://www.filmaffinity.com/es/film332264.html" TargetMode="External" Id="rId667"/><Relationship Type="http://schemas.openxmlformats.org/officeDocument/2006/relationships/hyperlink" Target="https://letterboxd.com/film/may-god-save-us/" TargetMode="External" Id="rId668"/><Relationship Type="http://schemas.openxmlformats.org/officeDocument/2006/relationships/hyperlink" Target="https://www.imdb.com/title/tt4857264/" TargetMode="External" Id="rId669"/><Relationship Type="http://schemas.openxmlformats.org/officeDocument/2006/relationships/hyperlink" Target="https://www.filmaffinity.com/es/film994025.html" TargetMode="External" Id="rId670"/><Relationship Type="http://schemas.openxmlformats.org/officeDocument/2006/relationships/hyperlink" Target="https://letterboxd.com/film/the-invisible-guest/" TargetMode="External" Id="rId671"/><Relationship Type="http://schemas.openxmlformats.org/officeDocument/2006/relationships/hyperlink" Target="https://www.imdb.com/title/tt2543164/" TargetMode="External" Id="rId672"/><Relationship Type="http://schemas.openxmlformats.org/officeDocument/2006/relationships/hyperlink" Target="https://www.filmaffinity.com/es/film420650.html" TargetMode="External" Id="rId673"/><Relationship Type="http://schemas.openxmlformats.org/officeDocument/2006/relationships/hyperlink" Target="https://letterboxd.com/film/arrival-2016/" TargetMode="External" Id="rId674"/><Relationship Type="http://schemas.openxmlformats.org/officeDocument/2006/relationships/hyperlink" Target="https://www.imdb.com/title/tt3470600/" TargetMode="External" Id="rId675"/><Relationship Type="http://schemas.openxmlformats.org/officeDocument/2006/relationships/hyperlink" Target="https://www.filmaffinity.com/es/film990902.html" TargetMode="External" Id="rId676"/><Relationship Type="http://schemas.openxmlformats.org/officeDocument/2006/relationships/hyperlink" Target="https://letterboxd.com/film/sing-2016/" TargetMode="External" Id="rId677"/><Relationship Type="http://schemas.openxmlformats.org/officeDocument/2006/relationships/hyperlink" Target="https://www.imdb.com/title/tt1489889/" TargetMode="External" Id="rId678"/><Relationship Type="http://schemas.openxmlformats.org/officeDocument/2006/relationships/hyperlink" Target="https://www.filmaffinity.com/es/film431103.html" TargetMode="External" Id="rId679"/><Relationship Type="http://schemas.openxmlformats.org/officeDocument/2006/relationships/hyperlink" Target="https://letterboxd.com/film/central-intelligence/" TargetMode="External" Id="rId680"/><Relationship Type="http://schemas.openxmlformats.org/officeDocument/2006/relationships/hyperlink" Target="https://www.imdb.com/title/tt3774114/" TargetMode="External" Id="rId681"/><Relationship Type="http://schemas.openxmlformats.org/officeDocument/2006/relationships/hyperlink" Target="https://www.filmaffinity.com/es/film892502.html" TargetMode="External" Id="rId682"/><Relationship Type="http://schemas.openxmlformats.org/officeDocument/2006/relationships/hyperlink" Target="https://letterboxd.com/film/snowden/" TargetMode="External" Id="rId683"/><Relationship Type="http://schemas.openxmlformats.org/officeDocument/2006/relationships/hyperlink" Target="https://www.imdb.com/title/tt3799694/" TargetMode="External" Id="rId684"/><Relationship Type="http://schemas.openxmlformats.org/officeDocument/2006/relationships/hyperlink" Target="https://www.filmaffinity.com/es/film305677.html" TargetMode="External" Id="rId685"/><Relationship Type="http://schemas.openxmlformats.org/officeDocument/2006/relationships/hyperlink" Target="https://letterboxd.com/film/the-nice-guys/" TargetMode="External" Id="rId686"/><Relationship Type="http://schemas.openxmlformats.org/officeDocument/2006/relationships/hyperlink" Target="https://www.imdb.com/title/tt3748528/" TargetMode="External" Id="rId687"/><Relationship Type="http://schemas.openxmlformats.org/officeDocument/2006/relationships/hyperlink" Target="https://www.filmaffinity.com/es/film769224.html" TargetMode="External" Id="rId688"/><Relationship Type="http://schemas.openxmlformats.org/officeDocument/2006/relationships/hyperlink" Target="https://letterboxd.com/film/rogue-one-a-star-wars-story/" TargetMode="External" Id="rId689"/><Relationship Type="http://schemas.openxmlformats.org/officeDocument/2006/relationships/hyperlink" Target="https://www.imdb.com/title/tt6616286/" TargetMode="External" Id="rId690"/><Relationship Type="http://schemas.openxmlformats.org/officeDocument/2006/relationships/hyperlink" Target="https://www.filmaffinity.com/es/film577407.html" TargetMode="External" Id="rId691"/><Relationship Type="http://schemas.openxmlformats.org/officeDocument/2006/relationships/hyperlink" Target="https://letterboxd.com/film/criando-ratas/" TargetMode="External" Id="rId692"/><Relationship Type="http://schemas.openxmlformats.org/officeDocument/2006/relationships/hyperlink" Target="https://www.imdb.com/title/tt4160708/" TargetMode="External" Id="rId693"/><Relationship Type="http://schemas.openxmlformats.org/officeDocument/2006/relationships/hyperlink" Target="https://www.filmaffinity.com/es/film609968.html" TargetMode="External" Id="rId694"/><Relationship Type="http://schemas.openxmlformats.org/officeDocument/2006/relationships/hyperlink" Target="https://letterboxd.com/film/dont-breathe-2016/" TargetMode="External" Id="rId695"/><Relationship Type="http://schemas.openxmlformats.org/officeDocument/2006/relationships/hyperlink" Target="https://www.imdb.com/title/tt4621630/" TargetMode="External" Id="rId696"/><Relationship Type="http://schemas.openxmlformats.org/officeDocument/2006/relationships/hyperlink" Target="https://www.filmaffinity.com/es/film945874.html" TargetMode="External" Id="rId697"/><Relationship Type="http://schemas.openxmlformats.org/officeDocument/2006/relationships/hyperlink" Target="https://letterboxd.com/film/boy-missing/" TargetMode="External" Id="rId698"/><Relationship Type="http://schemas.openxmlformats.org/officeDocument/2006/relationships/hyperlink" Target="https://www.imdb.com/title/tt4094724/" TargetMode="External" Id="rId699"/><Relationship Type="http://schemas.openxmlformats.org/officeDocument/2006/relationships/hyperlink" Target="https://www.filmaffinity.com/es/film974017.html" TargetMode="External" Id="rId700"/><Relationship Type="http://schemas.openxmlformats.org/officeDocument/2006/relationships/hyperlink" Target="https://letterboxd.com/film/the-purge-election-year/" TargetMode="External" Id="rId701"/><Relationship Type="http://schemas.openxmlformats.org/officeDocument/2006/relationships/hyperlink" Target="https://www.imdb.com/title/tt3416828/" TargetMode="External" Id="rId702"/><Relationship Type="http://schemas.openxmlformats.org/officeDocument/2006/relationships/hyperlink" Target="https://www.filmaffinity.com/es/film999575.html" TargetMode="External" Id="rId703"/><Relationship Type="http://schemas.openxmlformats.org/officeDocument/2006/relationships/hyperlink" Target="https://letterboxd.com/film/ice-age-collision-course/" TargetMode="External" Id="rId704"/><Relationship Type="http://schemas.openxmlformats.org/officeDocument/2006/relationships/hyperlink" Target="https://www.imdb.com/title/tt3655414/" TargetMode="External" Id="rId705"/><Relationship Type="http://schemas.openxmlformats.org/officeDocument/2006/relationships/hyperlink" Target="https://www.filmaffinity.com/es/film260479.html" TargetMode="External" Id="rId706"/><Relationship Type="http://schemas.openxmlformats.org/officeDocument/2006/relationships/hyperlink" Target="https://letterboxd.com/film/to-steal-from-a-thief/" TargetMode="External" Id="rId707"/><Relationship Type="http://schemas.openxmlformats.org/officeDocument/2006/relationships/hyperlink" Target="https://www.imdb.com/title/tt1473832/" TargetMode="External" Id="rId708"/><Relationship Type="http://schemas.openxmlformats.org/officeDocument/2006/relationships/hyperlink" Target="https://www.filmaffinity.com/es/film410388.html" TargetMode="External" Id="rId709"/><Relationship Type="http://schemas.openxmlformats.org/officeDocument/2006/relationships/hyperlink" Target="https://letterboxd.com/film/bridget-joness-baby/" TargetMode="External" Id="rId710"/><Relationship Type="http://schemas.openxmlformats.org/officeDocument/2006/relationships/hyperlink" Target="https://www.imdb.com/title/tt1700841/" TargetMode="External" Id="rId711"/><Relationship Type="http://schemas.openxmlformats.org/officeDocument/2006/relationships/hyperlink" Target="https://www.filmaffinity.com/es/film831372.html" TargetMode="External" Id="rId712"/><Relationship Type="http://schemas.openxmlformats.org/officeDocument/2006/relationships/hyperlink" Target="https://letterboxd.com/film/sausage-party/" TargetMode="External" Id="rId713"/><Relationship Type="http://schemas.openxmlformats.org/officeDocument/2006/relationships/hyperlink" Target="https://www.imdb.com/title/tt1211837/" TargetMode="External" Id="rId714"/><Relationship Type="http://schemas.openxmlformats.org/officeDocument/2006/relationships/hyperlink" Target="https://www.filmaffinity.com/es/film858509.html" TargetMode="External" Id="rId715"/><Relationship Type="http://schemas.openxmlformats.org/officeDocument/2006/relationships/hyperlink" Target="https://letterboxd.com/film/doctor-strange-2016/" TargetMode="External" Id="rId716"/><Relationship Type="http://schemas.openxmlformats.org/officeDocument/2006/relationships/hyperlink" Target="https://www.imdb.com/title/tt4769836/" TargetMode="External" Id="rId717"/><Relationship Type="http://schemas.openxmlformats.org/officeDocument/2006/relationships/hyperlink" Target="https://www.filmaffinity.com/es/film433818.html" TargetMode="External" Id="rId718"/><Relationship Type="http://schemas.openxmlformats.org/officeDocument/2006/relationships/hyperlink" Target="https://letterboxd.com/film/the-do-over/" TargetMode="External" Id="rId719"/><Relationship Type="http://schemas.openxmlformats.org/officeDocument/2006/relationships/hyperlink" Target="https://www.imdb.com/title/tt4281724/" TargetMode="External" Id="rId720"/><Relationship Type="http://schemas.openxmlformats.org/officeDocument/2006/relationships/hyperlink" Target="https://www.filmaffinity.com/es/film267237.html" TargetMode="External" Id="rId721"/><Relationship Type="http://schemas.openxmlformats.org/officeDocument/2006/relationships/hyperlink" Target="https://letterboxd.com/film/terrifier-2016/" TargetMode="External" Id="rId722"/><Relationship Type="http://schemas.openxmlformats.org/officeDocument/2006/relationships/hyperlink" Target="https://www.imdb.com/title/tt1386697/" TargetMode="External" Id="rId723"/><Relationship Type="http://schemas.openxmlformats.org/officeDocument/2006/relationships/hyperlink" Target="https://www.filmaffinity.com/es/film592391.html" TargetMode="External" Id="rId724"/><Relationship Type="http://schemas.openxmlformats.org/officeDocument/2006/relationships/hyperlink" Target="https://letterboxd.com/film/suicide-squad-2016/" TargetMode="External" Id="rId725"/><Relationship Type="http://schemas.openxmlformats.org/officeDocument/2006/relationships/hyperlink" Target="https://www.imdb.com/title/tt5674842/" TargetMode="External" Id="rId726"/><Relationship Type="http://schemas.openxmlformats.org/officeDocument/2006/relationships/hyperlink" Target="https://www.filmaffinity.com/es/film410078.html" TargetMode="External" Id="rId727"/><Relationship Type="http://schemas.openxmlformats.org/officeDocument/2006/relationships/hyperlink" Target="https://letterboxd.com/film/a-stroke-of-luck/" TargetMode="External" Id="rId728"/><Relationship Type="http://schemas.openxmlformats.org/officeDocument/2006/relationships/hyperlink" Target="https://www.imdb.com/title/tt4866712/" TargetMode="External" Id="rId729"/><Relationship Type="http://schemas.openxmlformats.org/officeDocument/2006/relationships/hyperlink" Target="https://www.filmaffinity.com/es/film380987.html" TargetMode="External" Id="rId730"/><Relationship Type="http://schemas.openxmlformats.org/officeDocument/2006/relationships/hyperlink" Target="https://letterboxd.com/film/party-town/" TargetMode="External" Id="rId731"/><Relationship Type="http://schemas.openxmlformats.org/officeDocument/2006/relationships/hyperlink" Target="https://www.imdb.com/title/tt4806012/" TargetMode="External" Id="rId732"/><Relationship Type="http://schemas.openxmlformats.org/officeDocument/2006/relationships/hyperlink" Target="https://www.filmaffinity.com/es/film505953.html" TargetMode="External" Id="rId733"/><Relationship Type="http://schemas.openxmlformats.org/officeDocument/2006/relationships/hyperlink" Target="https://letterboxd.com/film/heroes-wanted/" TargetMode="External" Id="rId734"/><Relationship Type="http://schemas.openxmlformats.org/officeDocument/2006/relationships/hyperlink" Target="https://www.imdb.com/title/tt2096673/" TargetMode="External" Id="rId735"/><Relationship Type="http://schemas.openxmlformats.org/officeDocument/2006/relationships/hyperlink" Target="https://www.filmaffinity.com/es/film135623.html" TargetMode="External" Id="rId736"/><Relationship Type="http://schemas.openxmlformats.org/officeDocument/2006/relationships/hyperlink" Target="https://letterboxd.com/film/inside-out-2015/" TargetMode="External" Id="rId737"/><Relationship Type="http://schemas.openxmlformats.org/officeDocument/2006/relationships/hyperlink" Target="https://www.imdb.com/title/tt1895587/" TargetMode="External" Id="rId738"/><Relationship Type="http://schemas.openxmlformats.org/officeDocument/2006/relationships/hyperlink" Target="https://www.filmaffinity.com/es/film384270.html" TargetMode="External" Id="rId739"/><Relationship Type="http://schemas.openxmlformats.org/officeDocument/2006/relationships/hyperlink" Target="https://letterboxd.com/film/spotlight/" TargetMode="External" Id="rId740"/><Relationship Type="http://schemas.openxmlformats.org/officeDocument/2006/relationships/hyperlink" Target="https://www.imdb.com/title/tt3170832/" TargetMode="External" Id="rId741"/><Relationship Type="http://schemas.openxmlformats.org/officeDocument/2006/relationships/hyperlink" Target="https://www.filmaffinity.com/es/film741318.html" TargetMode="External" Id="rId742"/><Relationship Type="http://schemas.openxmlformats.org/officeDocument/2006/relationships/hyperlink" Target="https://letterboxd.com/film/room-2015/" TargetMode="External" Id="rId743"/><Relationship Type="http://schemas.openxmlformats.org/officeDocument/2006/relationships/hyperlink" Target="https://www.imdb.com/title/tt1392190/" TargetMode="External" Id="rId744"/><Relationship Type="http://schemas.openxmlformats.org/officeDocument/2006/relationships/hyperlink" Target="https://www.filmaffinity.com/es/film620090.html" TargetMode="External" Id="rId745"/><Relationship Type="http://schemas.openxmlformats.org/officeDocument/2006/relationships/hyperlink" Target="https://letterboxd.com/film/mad-max-fury-road/" TargetMode="External" Id="rId746"/><Relationship Type="http://schemas.openxmlformats.org/officeDocument/2006/relationships/hyperlink" Target="https://www.imdb.com/title/tt1663202/" TargetMode="External" Id="rId747"/><Relationship Type="http://schemas.openxmlformats.org/officeDocument/2006/relationships/hyperlink" Target="https://www.filmaffinity.com/es/film117532.html" TargetMode="External" Id="rId748"/><Relationship Type="http://schemas.openxmlformats.org/officeDocument/2006/relationships/hyperlink" Target="https://letterboxd.com/film/the-revenant-2015/" TargetMode="External" Id="rId749"/><Relationship Type="http://schemas.openxmlformats.org/officeDocument/2006/relationships/hyperlink" Target="https://www.imdb.com/title/tt3754940/" TargetMode="External" Id="rId750"/><Relationship Type="http://schemas.openxmlformats.org/officeDocument/2006/relationships/hyperlink" Target="https://www.filmaffinity.com/es/film193232.html" TargetMode="External" Id="rId751"/><Relationship Type="http://schemas.openxmlformats.org/officeDocument/2006/relationships/hyperlink" Target="https://letterboxd.com/film/truman-2015/" TargetMode="External" Id="rId752"/><Relationship Type="http://schemas.openxmlformats.org/officeDocument/2006/relationships/hyperlink" Target="https://www.imdb.com/title/tt2488496/" TargetMode="External" Id="rId753"/><Relationship Type="http://schemas.openxmlformats.org/officeDocument/2006/relationships/hyperlink" Target="https://www.filmaffinity.com/es/film569795.html" TargetMode="External" Id="rId754"/><Relationship Type="http://schemas.openxmlformats.org/officeDocument/2006/relationships/hyperlink" Target="https://letterboxd.com/film/star-wars-the-force-awakens/" TargetMode="External" Id="rId755"/><Relationship Type="http://schemas.openxmlformats.org/officeDocument/2006/relationships/hyperlink" Target="https://www.imdb.com/title/tt2400463/" TargetMode="External" Id="rId756"/><Relationship Type="http://schemas.openxmlformats.org/officeDocument/2006/relationships/hyperlink" Target="https://www.filmaffinity.com/es/film779556.html" TargetMode="External" Id="rId757"/><Relationship Type="http://schemas.openxmlformats.org/officeDocument/2006/relationships/hyperlink" Target="https://letterboxd.com/film/the-invitation-2015/" TargetMode="External" Id="rId758"/><Relationship Type="http://schemas.openxmlformats.org/officeDocument/2006/relationships/hyperlink" Target="https://www.imdb.com/title/tt3460252/" TargetMode="External" Id="rId759"/><Relationship Type="http://schemas.openxmlformats.org/officeDocument/2006/relationships/hyperlink" Target="https://www.filmaffinity.com/es/film647932.html" TargetMode="External" Id="rId760"/><Relationship Type="http://schemas.openxmlformats.org/officeDocument/2006/relationships/hyperlink" Target="https://letterboxd.com/film/the-hateful-eight/" TargetMode="External" Id="rId761"/><Relationship Type="http://schemas.openxmlformats.org/officeDocument/2006/relationships/hyperlink" Target="https://www.imdb.com/title/tt4176826/" TargetMode="External" Id="rId762"/><Relationship Type="http://schemas.openxmlformats.org/officeDocument/2006/relationships/hyperlink" Target="https://www.filmaffinity.com/es/film535418.html" TargetMode="External" Id="rId763"/><Relationship Type="http://schemas.openxmlformats.org/officeDocument/2006/relationships/hyperlink" Target="https://letterboxd.com/film/look-whos-back-2015/" TargetMode="External" Id="rId764"/><Relationship Type="http://schemas.openxmlformats.org/officeDocument/2006/relationships/hyperlink" Target="https://www.imdb.com/title/tt2395427/" TargetMode="External" Id="rId765"/><Relationship Type="http://schemas.openxmlformats.org/officeDocument/2006/relationships/hyperlink" Target="https://www.filmaffinity.com/es/film486156.html" TargetMode="External" Id="rId766"/><Relationship Type="http://schemas.openxmlformats.org/officeDocument/2006/relationships/hyperlink" Target="https://letterboxd.com/film/avengers-age-of-ultron/" TargetMode="External" Id="rId767"/><Relationship Type="http://schemas.openxmlformats.org/officeDocument/2006/relationships/hyperlink" Target="https://www.imdb.com/title/tt3076658/" TargetMode="External" Id="rId768"/><Relationship Type="http://schemas.openxmlformats.org/officeDocument/2006/relationships/hyperlink" Target="https://www.filmaffinity.com/es/film943315.html" TargetMode="External" Id="rId769"/><Relationship Type="http://schemas.openxmlformats.org/officeDocument/2006/relationships/hyperlink" Target="https://letterboxd.com/film/creed/" TargetMode="External" Id="rId770"/><Relationship Type="http://schemas.openxmlformats.org/officeDocument/2006/relationships/hyperlink" Target="https://www.imdb.com/title/tt2820852/" TargetMode="External" Id="rId771"/><Relationship Type="http://schemas.openxmlformats.org/officeDocument/2006/relationships/hyperlink" Target="https://www.filmaffinity.com/es/film274822.html" TargetMode="External" Id="rId772"/><Relationship Type="http://schemas.openxmlformats.org/officeDocument/2006/relationships/hyperlink" Target="https://letterboxd.com/film/furious-7/" TargetMode="External" Id="rId773"/><Relationship Type="http://schemas.openxmlformats.org/officeDocument/2006/relationships/hyperlink" Target="https://www.imdb.com/title/tt3605418/" TargetMode="External" Id="rId774"/><Relationship Type="http://schemas.openxmlformats.org/officeDocument/2006/relationships/hyperlink" Target="https://www.filmaffinity.com/es/film224676.html" TargetMode="External" Id="rId775"/><Relationship Type="http://schemas.openxmlformats.org/officeDocument/2006/relationships/hyperlink" Target="https://letterboxd.com/film/knock-knock-2015/" TargetMode="External" Id="rId776"/><Relationship Type="http://schemas.openxmlformats.org/officeDocument/2006/relationships/hyperlink" Target="https://www.imdb.com/title/tt3819668/" TargetMode="External" Id="rId777"/><Relationship Type="http://schemas.openxmlformats.org/officeDocument/2006/relationships/hyperlink" Target="https://www.filmaffinity.com/es/film939831.html" TargetMode="External" Id="rId778"/><Relationship Type="http://schemas.openxmlformats.org/officeDocument/2006/relationships/hyperlink" Target="https://letterboxd.com/film/dragon-ball-z-resurrection-f/" TargetMode="External" Id="rId779"/><Relationship Type="http://schemas.openxmlformats.org/officeDocument/2006/relationships/hyperlink" Target="https://www.imdb.com/title/tt1524930/" TargetMode="External" Id="rId780"/><Relationship Type="http://schemas.openxmlformats.org/officeDocument/2006/relationships/hyperlink" Target="https://www.filmaffinity.com/es/film690533.html" TargetMode="External" Id="rId781"/><Relationship Type="http://schemas.openxmlformats.org/officeDocument/2006/relationships/hyperlink" Target="https://letterboxd.com/film/vacation-2015/" TargetMode="External" Id="rId782"/><Relationship Type="http://schemas.openxmlformats.org/officeDocument/2006/relationships/hyperlink" Target="https://www.imdb.com/title/tt3510480/" TargetMode="External" Id="rId783"/><Relationship Type="http://schemas.openxmlformats.org/officeDocument/2006/relationships/hyperlink" Target="https://www.filmaffinity.com/es/film961632.html" TargetMode="External" Id="rId784"/><Relationship Type="http://schemas.openxmlformats.org/officeDocument/2006/relationships/hyperlink" Target="https://letterboxd.com/film/spy-time/" TargetMode="External" Id="rId785"/><Relationship Type="http://schemas.openxmlformats.org/officeDocument/2006/relationships/hyperlink" Target="https://www.imdb.com/title/tt4263482/" TargetMode="External" Id="rId786"/><Relationship Type="http://schemas.openxmlformats.org/officeDocument/2006/relationships/hyperlink" Target="https://www.filmaffinity.com/es/film613062.html" TargetMode="External" Id="rId787"/><Relationship Type="http://schemas.openxmlformats.org/officeDocument/2006/relationships/hyperlink" Target="https://letterboxd.com/film/the-witch-2015/" TargetMode="External" Id="rId788"/><Relationship Type="http://schemas.openxmlformats.org/officeDocument/2006/relationships/hyperlink" Target="https://www.imdb.com/title/tt0478970/" TargetMode="External" Id="rId789"/><Relationship Type="http://schemas.openxmlformats.org/officeDocument/2006/relationships/hyperlink" Target="https://www.filmaffinity.com/es/film821731.html" TargetMode="External" Id="rId790"/><Relationship Type="http://schemas.openxmlformats.org/officeDocument/2006/relationships/hyperlink" Target="https://letterboxd.com/film/ant-man/" TargetMode="External" Id="rId791"/><Relationship Type="http://schemas.openxmlformats.org/officeDocument/2006/relationships/hyperlink" Target="https://www.imdb.com/title/tt3195644/" TargetMode="External" Id="rId792"/><Relationship Type="http://schemas.openxmlformats.org/officeDocument/2006/relationships/hyperlink" Target="https://www.filmaffinity.com/es/film745762.html" TargetMode="External" Id="rId793"/><Relationship Type="http://schemas.openxmlformats.org/officeDocument/2006/relationships/hyperlink" Target="https://letterboxd.com/film/insidious-chapter-3/" TargetMode="External" Id="rId794"/><Relationship Type="http://schemas.openxmlformats.org/officeDocument/2006/relationships/hyperlink" Target="https://www.imdb.com/title/tt4412362/" TargetMode="External" Id="rId795"/><Relationship Type="http://schemas.openxmlformats.org/officeDocument/2006/relationships/hyperlink" Target="https://www.filmaffinity.com/es/film152408.html" TargetMode="External" Id="rId796"/><Relationship Type="http://schemas.openxmlformats.org/officeDocument/2006/relationships/hyperlink" Target="https://letterboxd.com/film/my-big-night/" TargetMode="External" Id="rId797"/><Relationship Type="http://schemas.openxmlformats.org/officeDocument/2006/relationships/hyperlink" Target="https://www.imdb.com/title/tt3242418/" TargetMode="External" Id="rId798"/><Relationship Type="http://schemas.openxmlformats.org/officeDocument/2006/relationships/hyperlink" Target="https://www.filmaffinity.com/es/film752658.html" TargetMode="External" Id="rId799"/><Relationship Type="http://schemas.openxmlformats.org/officeDocument/2006/relationships/hyperlink" Target="https://letterboxd.com/film/being-14/" TargetMode="External" Id="rId800"/><Relationship Type="http://schemas.openxmlformats.org/officeDocument/2006/relationships/hyperlink" Target="https://www.imdb.com/title/tt3626742/" TargetMode="External" Id="rId801"/><Relationship Type="http://schemas.openxmlformats.org/officeDocument/2006/relationships/hyperlink" Target="https://www.filmaffinity.com/es/film264280.html" TargetMode="External" Id="rId802"/><Relationship Type="http://schemas.openxmlformats.org/officeDocument/2006/relationships/hyperlink" Target="https://letterboxd.com/film/spanish-affair-2/" TargetMode="External" Id="rId803"/><Relationship Type="http://schemas.openxmlformats.org/officeDocument/2006/relationships/hyperlink" Target="https://www.imdb.com/title/tt2322441/" TargetMode="External" Id="rId804"/><Relationship Type="http://schemas.openxmlformats.org/officeDocument/2006/relationships/hyperlink" Target="https://www.filmaffinity.com/es/film124904.html" TargetMode="External" Id="rId805"/><Relationship Type="http://schemas.openxmlformats.org/officeDocument/2006/relationships/hyperlink" Target="https://letterboxd.com/film/fifty-shades-of-grey/" TargetMode="External" Id="rId806"/><Relationship Type="http://schemas.openxmlformats.org/officeDocument/2006/relationships/hyperlink" Target="https://www.imdb.com/title/tt0816692/" TargetMode="External" Id="rId807"/><Relationship Type="http://schemas.openxmlformats.org/officeDocument/2006/relationships/hyperlink" Target="https://www.filmaffinity.com/es/film704416.html" TargetMode="External" Id="rId808"/><Relationship Type="http://schemas.openxmlformats.org/officeDocument/2006/relationships/hyperlink" Target="https://letterboxd.com/film/interstellar/" TargetMode="External" Id="rId809"/><Relationship Type="http://schemas.openxmlformats.org/officeDocument/2006/relationships/hyperlink" Target="https://www.imdb.com/title/tt2582802/" TargetMode="External" Id="rId810"/><Relationship Type="http://schemas.openxmlformats.org/officeDocument/2006/relationships/hyperlink" Target="https://www.filmaffinity.com/es/film206955.html" TargetMode="External" Id="rId811"/><Relationship Type="http://schemas.openxmlformats.org/officeDocument/2006/relationships/hyperlink" Target="https://letterboxd.com/film/whiplash-2014/" TargetMode="External" Id="rId812"/><Relationship Type="http://schemas.openxmlformats.org/officeDocument/2006/relationships/hyperlink" Target="https://www.imdb.com/title/tt3253930/" TargetMode="External" Id="rId813"/><Relationship Type="http://schemas.openxmlformats.org/officeDocument/2006/relationships/hyperlink" Target="https://www.filmaffinity.com/es/film575568.html" TargetMode="External" Id="rId814"/><Relationship Type="http://schemas.openxmlformats.org/officeDocument/2006/relationships/hyperlink" Target="https://letterboxd.com/film/marshland/" TargetMode="External" Id="rId815"/><Relationship Type="http://schemas.openxmlformats.org/officeDocument/2006/relationships/hyperlink" Target="https://www.imdb.com/title/tt2267998/" TargetMode="External" Id="rId816"/><Relationship Type="http://schemas.openxmlformats.org/officeDocument/2006/relationships/hyperlink" Target="https://www.filmaffinity.com/es/film478104.html" TargetMode="External" Id="rId817"/><Relationship Type="http://schemas.openxmlformats.org/officeDocument/2006/relationships/hyperlink" Target="https://letterboxd.com/film/gone-girl/" TargetMode="External" Id="rId818"/><Relationship Type="http://schemas.openxmlformats.org/officeDocument/2006/relationships/hyperlink" Target="https://www.imdb.com/title/tt2562232/" TargetMode="External" Id="rId819"/><Relationship Type="http://schemas.openxmlformats.org/officeDocument/2006/relationships/hyperlink" Target="https://www.filmaffinity.com/es/film670216.html" TargetMode="External" Id="rId820"/><Relationship Type="http://schemas.openxmlformats.org/officeDocument/2006/relationships/hyperlink" Target="https://letterboxd.com/film/birdman-or-the-unexpected-virtue-of-ignorance/" TargetMode="External" Id="rId821"/><Relationship Type="http://schemas.openxmlformats.org/officeDocument/2006/relationships/hyperlink" Target="https://www.imdb.com/title/tt2015381/" TargetMode="External" Id="rId822"/><Relationship Type="http://schemas.openxmlformats.org/officeDocument/2006/relationships/hyperlink" Target="https://www.filmaffinity.com/es/film316972.html" TargetMode="External" Id="rId823"/><Relationship Type="http://schemas.openxmlformats.org/officeDocument/2006/relationships/hyperlink" Target="https://letterboxd.com/film/guardians-of-the-galaxy/" TargetMode="External" Id="rId824"/><Relationship Type="http://schemas.openxmlformats.org/officeDocument/2006/relationships/hyperlink" Target="https://www.imdb.com/title/tt2872718/" TargetMode="External" Id="rId825"/><Relationship Type="http://schemas.openxmlformats.org/officeDocument/2006/relationships/hyperlink" Target="https://www.filmaffinity.com/es/film779937.html" TargetMode="External" Id="rId826"/><Relationship Type="http://schemas.openxmlformats.org/officeDocument/2006/relationships/hyperlink" Target="https://letterboxd.com/film/nightcrawler/" TargetMode="External" Id="rId827"/><Relationship Type="http://schemas.openxmlformats.org/officeDocument/2006/relationships/hyperlink" Target="https://www.imdb.com/title/tt2802144/" TargetMode="External" Id="rId828"/><Relationship Type="http://schemas.openxmlformats.org/officeDocument/2006/relationships/hyperlink" Target="https://www.filmaffinity.com/es/film376816.html" TargetMode="External" Id="rId829"/><Relationship Type="http://schemas.openxmlformats.org/officeDocument/2006/relationships/hyperlink" Target="https://letterboxd.com/film/kingsman-the-secret-service/" TargetMode="External" Id="rId830"/><Relationship Type="http://schemas.openxmlformats.org/officeDocument/2006/relationships/hyperlink" Target="https://www.imdb.com/title/tt1843866/" TargetMode="External" Id="rId831"/><Relationship Type="http://schemas.openxmlformats.org/officeDocument/2006/relationships/hyperlink" Target="https://www.filmaffinity.com/es/film654236.html" TargetMode="External" Id="rId832"/><Relationship Type="http://schemas.openxmlformats.org/officeDocument/2006/relationships/hyperlink" Target="https://letterboxd.com/film/captain-america-the-winter-soldier/" TargetMode="External" Id="rId833"/><Relationship Type="http://schemas.openxmlformats.org/officeDocument/2006/relationships/hyperlink" Target="https://www.imdb.com/title/tt3235888/" TargetMode="External" Id="rId834"/><Relationship Type="http://schemas.openxmlformats.org/officeDocument/2006/relationships/hyperlink" Target="https://www.filmaffinity.com/es/film811561.html" TargetMode="External" Id="rId835"/><Relationship Type="http://schemas.openxmlformats.org/officeDocument/2006/relationships/hyperlink" Target="https://letterboxd.com/film/it-follows/" TargetMode="External" Id="rId836"/><Relationship Type="http://schemas.openxmlformats.org/officeDocument/2006/relationships/hyperlink" Target="https://www.imdb.com/title/tt2955316/" TargetMode="External" Id="rId837"/><Relationship Type="http://schemas.openxmlformats.org/officeDocument/2006/relationships/hyperlink" Target="https://www.filmaffinity.com/es/film162717.html" TargetMode="External" Id="rId838"/><Relationship Type="http://schemas.openxmlformats.org/officeDocument/2006/relationships/hyperlink" Target="https://letterboxd.com/film/spanish-affair-2014/" TargetMode="External" Id="rId839"/><Relationship Type="http://schemas.openxmlformats.org/officeDocument/2006/relationships/hyperlink" Target="https://www.imdb.com/title/tt2428170/" TargetMode="External" Id="rId840"/><Relationship Type="http://schemas.openxmlformats.org/officeDocument/2006/relationships/hyperlink" Target="https://www.filmaffinity.com/es/film969318.html" TargetMode="External" Id="rId841"/><Relationship Type="http://schemas.openxmlformats.org/officeDocument/2006/relationships/hyperlink" Target="https://letterboxd.com/film/creep-2014/" TargetMode="External" Id="rId842"/><Relationship Type="http://schemas.openxmlformats.org/officeDocument/2006/relationships/hyperlink" Target="https://www.imdb.com/title/tt1872181/" TargetMode="External" Id="rId843"/><Relationship Type="http://schemas.openxmlformats.org/officeDocument/2006/relationships/hyperlink" Target="https://www.filmaffinity.com/es/film268783.html" TargetMode="External" Id="rId844"/><Relationship Type="http://schemas.openxmlformats.org/officeDocument/2006/relationships/hyperlink" Target="https://letterboxd.com/film/the-amazing-spider-man-2/" TargetMode="External" Id="rId845"/><Relationship Type="http://schemas.openxmlformats.org/officeDocument/2006/relationships/hyperlink" Target="https://www.imdb.com/title/tt3713166/" TargetMode="External" Id="rId846"/><Relationship Type="http://schemas.openxmlformats.org/officeDocument/2006/relationships/hyperlink" Target="https://www.filmaffinity.com/es/film723838.html" TargetMode="External" Id="rId847"/><Relationship Type="http://schemas.openxmlformats.org/officeDocument/2006/relationships/hyperlink" Target="https://letterboxd.com/film/unfriended/" TargetMode="External" Id="rId848"/><Relationship Type="http://schemas.openxmlformats.org/officeDocument/2006/relationships/hyperlink" Target="https://www.imdb.com/title/tt3506302/" TargetMode="External" Id="rId849"/><Relationship Type="http://schemas.openxmlformats.org/officeDocument/2006/relationships/hyperlink" Target="https://www.filmaffinity.com/es/film678313.html" TargetMode="External" Id="rId850"/><Relationship Type="http://schemas.openxmlformats.org/officeDocument/2006/relationships/hyperlink" Target="https://letterboxd.com/film/in-darkness-we-fall/" TargetMode="External" Id="rId851"/><Relationship Type="http://schemas.openxmlformats.org/officeDocument/2006/relationships/hyperlink" Target="https://www.imdb.com/title/tt3348102/" TargetMode="External" Id="rId852"/><Relationship Type="http://schemas.openxmlformats.org/officeDocument/2006/relationships/hyperlink" Target="https://www.filmaffinity.com/es/film167837.html" TargetMode="External" Id="rId853"/><Relationship Type="http://schemas.openxmlformats.org/officeDocument/2006/relationships/hyperlink" Target="https://letterboxd.com/film/stereo-2014/" TargetMode="External" Id="rId854"/><Relationship Type="http://schemas.openxmlformats.org/officeDocument/2006/relationships/hyperlink" Target="https://www.imdb.com/title/tt2975578/" TargetMode="External" Id="rId855"/><Relationship Type="http://schemas.openxmlformats.org/officeDocument/2006/relationships/hyperlink" Target="https://www.filmaffinity.com/es/film374115.html" TargetMode="External" Id="rId856"/><Relationship Type="http://schemas.openxmlformats.org/officeDocument/2006/relationships/hyperlink" Target="https://letterboxd.com/film/the-purge-anarchy/" TargetMode="External" Id="rId857"/><Relationship Type="http://schemas.openxmlformats.org/officeDocument/2006/relationships/hyperlink" Target="https://www.imdb.com/title/tt2788710/" TargetMode="External" Id="rId858"/><Relationship Type="http://schemas.openxmlformats.org/officeDocument/2006/relationships/hyperlink" Target="https://www.filmaffinity.com/es/film733139.html" TargetMode="External" Id="rId859"/><Relationship Type="http://schemas.openxmlformats.org/officeDocument/2006/relationships/hyperlink" Target="https://letterboxd.com/film/the-interview-2014/" TargetMode="External" Id="rId860"/><Relationship Type="http://schemas.openxmlformats.org/officeDocument/2006/relationships/hyperlink" Target="https://www.imdb.com/title/tt3321428/" TargetMode="External" Id="rId861"/><Relationship Type="http://schemas.openxmlformats.org/officeDocument/2006/relationships/hyperlink" Target="https://www.filmaffinity.com/es/film679709.html" TargetMode="External" Id="rId862"/><Relationship Type="http://schemas.openxmlformats.org/officeDocument/2006/relationships/hyperlink" Target="https://letterboxd.com/film/torrente-5/" TargetMode="External" Id="rId863"/><Relationship Type="http://schemas.openxmlformats.org/officeDocument/2006/relationships/hyperlink" Target="https://www.imdb.com/title/tt2096672/" TargetMode="External" Id="rId864"/><Relationship Type="http://schemas.openxmlformats.org/officeDocument/2006/relationships/hyperlink" Target="https://www.filmaffinity.com/es/film182084.html" TargetMode="External" Id="rId865"/><Relationship Type="http://schemas.openxmlformats.org/officeDocument/2006/relationships/hyperlink" Target="https://letterboxd.com/film/dumb-and-dumber-to/" TargetMode="External" Id="rId866"/><Relationship Type="http://schemas.openxmlformats.org/officeDocument/2006/relationships/hyperlink" Target="https://www.imdb.com/title/tt1649443/" TargetMode="External" Id="rId867"/><Relationship Type="http://schemas.openxmlformats.org/officeDocument/2006/relationships/hyperlink" Target="https://www.filmaffinity.com/es/film310902.html" TargetMode="External" Id="rId868"/><Relationship Type="http://schemas.openxmlformats.org/officeDocument/2006/relationships/hyperlink" Target="https://letterboxd.com/film/rec-apocalypse/" TargetMode="External" Id="rId869"/><Relationship Type="http://schemas.openxmlformats.org/officeDocument/2006/relationships/hyperlink" Target="https://www.imdb.com/title/tt1798709/" TargetMode="External" Id="rId870"/><Relationship Type="http://schemas.openxmlformats.org/officeDocument/2006/relationships/hyperlink" Target="https://www.filmaffinity.com/es/film889720.html" TargetMode="External" Id="rId871"/><Relationship Type="http://schemas.openxmlformats.org/officeDocument/2006/relationships/hyperlink" Target="https://letterboxd.com/film/her/" TargetMode="External" Id="rId872"/><Relationship Type="http://schemas.openxmlformats.org/officeDocument/2006/relationships/hyperlink" Target="https://www.imdb.com/title/tt0993846/" TargetMode="External" Id="rId873"/><Relationship Type="http://schemas.openxmlformats.org/officeDocument/2006/relationships/hyperlink" Target="https://www.filmaffinity.com/es/film828416.html" TargetMode="External" Id="rId874"/><Relationship Type="http://schemas.openxmlformats.org/officeDocument/2006/relationships/hyperlink" Target="https://letterboxd.com/film/the-wolf-of-wall-street/" TargetMode="External" Id="rId875"/><Relationship Type="http://schemas.openxmlformats.org/officeDocument/2006/relationships/hyperlink" Target="https://www.imdb.com/title/tt2866360/" TargetMode="External" Id="rId876"/><Relationship Type="http://schemas.openxmlformats.org/officeDocument/2006/relationships/hyperlink" Target="https://www.filmaffinity.com/es/film974551.html" TargetMode="External" Id="rId877"/><Relationship Type="http://schemas.openxmlformats.org/officeDocument/2006/relationships/hyperlink" Target="https://letterboxd.com/film/coherence/" TargetMode="External" Id="rId878"/><Relationship Type="http://schemas.openxmlformats.org/officeDocument/2006/relationships/hyperlink" Target="https://www.imdb.com/title/tt1457767/" TargetMode="External" Id="rId879"/><Relationship Type="http://schemas.openxmlformats.org/officeDocument/2006/relationships/hyperlink" Target="https://www.filmaffinity.com/es/film233180.html" TargetMode="External" Id="rId880"/><Relationship Type="http://schemas.openxmlformats.org/officeDocument/2006/relationships/hyperlink" Target="https://letterboxd.com/film/the-conjuring/" TargetMode="External" Id="rId881"/><Relationship Type="http://schemas.openxmlformats.org/officeDocument/2006/relationships/hyperlink" Target="https://www.imdb.com/title/tt2184339/" TargetMode="External" Id="rId882"/><Relationship Type="http://schemas.openxmlformats.org/officeDocument/2006/relationships/hyperlink" Target="https://www.filmaffinity.com/es/film636016.html" TargetMode="External" Id="rId883"/><Relationship Type="http://schemas.openxmlformats.org/officeDocument/2006/relationships/hyperlink" Target="https://letterboxd.com/film/the-purge/" TargetMode="External" Id="rId884"/><Relationship Type="http://schemas.openxmlformats.org/officeDocument/2006/relationships/hyperlink" Target="https://www.imdb.com/title/tt2896036/" TargetMode="External" Id="rId885"/><Relationship Type="http://schemas.openxmlformats.org/officeDocument/2006/relationships/hyperlink" Target="https://www.filmaffinity.com/es/film300397.html" TargetMode="External" Id="rId886"/><Relationship Type="http://schemas.openxmlformats.org/officeDocument/2006/relationships/hyperlink" Target="https://letterboxd.com/film/living-is-easy-with-eyes-closed/" TargetMode="External" Id="rId887"/><Relationship Type="http://schemas.openxmlformats.org/officeDocument/2006/relationships/hyperlink" Target="https://www.imdb.com/title/tt1690953/" TargetMode="External" Id="rId888"/><Relationship Type="http://schemas.openxmlformats.org/officeDocument/2006/relationships/hyperlink" Target="https://www.filmaffinity.com/es/film655560.html" TargetMode="External" Id="rId889"/><Relationship Type="http://schemas.openxmlformats.org/officeDocument/2006/relationships/hyperlink" Target="https://letterboxd.com/film/despicable-me-2/" TargetMode="External" Id="rId890"/><Relationship Type="http://schemas.openxmlformats.org/officeDocument/2006/relationships/hyperlink" Target="https://www.imdb.com/title/tt0770828/" TargetMode="External" Id="rId891"/><Relationship Type="http://schemas.openxmlformats.org/officeDocument/2006/relationships/hyperlink" Target="https://www.filmaffinity.com/es/film730631.html" TargetMode="External" Id="rId892"/><Relationship Type="http://schemas.openxmlformats.org/officeDocument/2006/relationships/hyperlink" Target="https://letterboxd.com/film/man-of-steel/" TargetMode="External" Id="rId893"/><Relationship Type="http://schemas.openxmlformats.org/officeDocument/2006/relationships/hyperlink" Target="https://www.imdb.com/title/tt2278871/" TargetMode="External" Id="rId894"/><Relationship Type="http://schemas.openxmlformats.org/officeDocument/2006/relationships/hyperlink" Target="https://www.filmaffinity.com/es/film361182.html" TargetMode="External" Id="rId895"/><Relationship Type="http://schemas.openxmlformats.org/officeDocument/2006/relationships/hyperlink" Target="https://letterboxd.com/film/blue-is-the-warmest-color/" TargetMode="External" Id="rId896"/><Relationship Type="http://schemas.openxmlformats.org/officeDocument/2006/relationships/hyperlink" Target="https://www.imdb.com/title/tt1300854/" TargetMode="External" Id="rId897"/><Relationship Type="http://schemas.openxmlformats.org/officeDocument/2006/relationships/hyperlink" Target="https://www.filmaffinity.com/es/film973071.html" TargetMode="External" Id="rId898"/><Relationship Type="http://schemas.openxmlformats.org/officeDocument/2006/relationships/hyperlink" Target="https://letterboxd.com/film/iron-man-3/" TargetMode="External" Id="rId899"/><Relationship Type="http://schemas.openxmlformats.org/officeDocument/2006/relationships/hyperlink" Target="https://www.imdb.com/title/tt1723121/" TargetMode="External" Id="rId900"/><Relationship Type="http://schemas.openxmlformats.org/officeDocument/2006/relationships/hyperlink" Target="https://www.filmaffinity.com/es/film930680.html" TargetMode="External" Id="rId901"/><Relationship Type="http://schemas.openxmlformats.org/officeDocument/2006/relationships/hyperlink" Target="https://letterboxd.com/film/were-the-millers/" TargetMode="External" Id="rId902"/><Relationship Type="http://schemas.openxmlformats.org/officeDocument/2006/relationships/hyperlink" Target="https://www.imdb.com/title/tt2226417/" TargetMode="External" Id="rId903"/><Relationship Type="http://schemas.openxmlformats.org/officeDocument/2006/relationships/hyperlink" Target="https://www.filmaffinity.com/es/film628461.html" TargetMode="External" Id="rId904"/><Relationship Type="http://schemas.openxmlformats.org/officeDocument/2006/relationships/hyperlink" Target="https://letterboxd.com/film/insidious-chapter-2/" TargetMode="External" Id="rId905"/><Relationship Type="http://schemas.openxmlformats.org/officeDocument/2006/relationships/hyperlink" Target="https://www.imdb.com/title/tt2263944/" TargetMode="External" Id="rId906"/><Relationship Type="http://schemas.openxmlformats.org/officeDocument/2006/relationships/hyperlink" Target="https://www.filmaffinity.com/es/film167943.html" TargetMode="External" Id="rId907"/><Relationship Type="http://schemas.openxmlformats.org/officeDocument/2006/relationships/hyperlink" Target="https://letterboxd.com/film/dragon-ball-z-battle-of-gods/" TargetMode="External" Id="rId908"/><Relationship Type="http://schemas.openxmlformats.org/officeDocument/2006/relationships/hyperlink" Target="https://www.imdb.com/title/tt2229499/" TargetMode="External" Id="rId909"/><Relationship Type="http://schemas.openxmlformats.org/officeDocument/2006/relationships/hyperlink" Target="https://www.filmaffinity.com/es/film340903.html" TargetMode="External" Id="rId910"/><Relationship Type="http://schemas.openxmlformats.org/officeDocument/2006/relationships/hyperlink" Target="https://letterboxd.com/film/don-jon/" TargetMode="External" Id="rId911"/><Relationship Type="http://schemas.openxmlformats.org/officeDocument/2006/relationships/hyperlink" Target="https://www.imdb.com/title/tt2023587/" TargetMode="External" Id="rId912"/><Relationship Type="http://schemas.openxmlformats.org/officeDocument/2006/relationships/hyperlink" Target="https://www.filmaffinity.com/es/film489880.html" TargetMode="External" Id="rId913"/><Relationship Type="http://schemas.openxmlformats.org/officeDocument/2006/relationships/hyperlink" Target="https://letterboxd.com/film/mama-2013/" TargetMode="External" Id="rId914"/><Relationship Type="http://schemas.openxmlformats.org/officeDocument/2006/relationships/hyperlink" Target="https://www.imdb.com/title/tt1981115/" TargetMode="External" Id="rId915"/><Relationship Type="http://schemas.openxmlformats.org/officeDocument/2006/relationships/hyperlink" Target="https://www.filmaffinity.com/es/film172680.html" TargetMode="External" Id="rId916"/><Relationship Type="http://schemas.openxmlformats.org/officeDocument/2006/relationships/hyperlink" Target="https://letterboxd.com/film/thor-the-dark-world/" TargetMode="External" Id="rId917"/><Relationship Type="http://schemas.openxmlformats.org/officeDocument/2006/relationships/hyperlink" Target="https://www.imdb.com/title/tt2191701/" TargetMode="External" Id="rId918"/><Relationship Type="http://schemas.openxmlformats.org/officeDocument/2006/relationships/hyperlink" Target="https://www.filmaffinity.com/es/film348761.html" TargetMode="External" Id="rId919"/><Relationship Type="http://schemas.openxmlformats.org/officeDocument/2006/relationships/hyperlink" Target="https://letterboxd.com/film/grown-ups-2/" TargetMode="External" Id="rId920"/><Relationship Type="http://schemas.openxmlformats.org/officeDocument/2006/relationships/hyperlink" Target="https://www.imdb.com/title/tt0816711/" TargetMode="External" Id="rId921"/><Relationship Type="http://schemas.openxmlformats.org/officeDocument/2006/relationships/hyperlink" Target="https://www.filmaffinity.com/es/film263630.html" TargetMode="External" Id="rId922"/><Relationship Type="http://schemas.openxmlformats.org/officeDocument/2006/relationships/hyperlink" Target="https://letterboxd.com/film/world-war-z/" TargetMode="External" Id="rId923"/><Relationship Type="http://schemas.openxmlformats.org/officeDocument/2006/relationships/hyperlink" Target="https://www.imdb.com/title/tt2418440/" TargetMode="External" Id="rId924"/><Relationship Type="http://schemas.openxmlformats.org/officeDocument/2006/relationships/hyperlink" Target="https://www.filmaffinity.com/es/film408934.html" TargetMode="External" Id="rId925"/><Relationship Type="http://schemas.openxmlformats.org/officeDocument/2006/relationships/hyperlink" Target="https://letterboxd.com/film/three-many-weddings/" TargetMode="External" Id="rId926"/><Relationship Type="http://schemas.openxmlformats.org/officeDocument/2006/relationships/hyperlink" Target="https://www.imdb.com/title/tt1951261/" TargetMode="External" Id="rId927"/><Relationship Type="http://schemas.openxmlformats.org/officeDocument/2006/relationships/hyperlink" Target="https://www.filmaffinity.com/es/film183018.html" TargetMode="External" Id="rId928"/><Relationship Type="http://schemas.openxmlformats.org/officeDocument/2006/relationships/hyperlink" Target="https://letterboxd.com/film/the-hangover-part-iii/" TargetMode="External" Id="rId929"/><Relationship Type="http://schemas.openxmlformats.org/officeDocument/2006/relationships/hyperlink" Target="https://www.imdb.com/title/tt0795461/" TargetMode="External" Id="rId930"/><Relationship Type="http://schemas.openxmlformats.org/officeDocument/2006/relationships/hyperlink" Target="https://www.filmaffinity.com/es/film660598.html" TargetMode="External" Id="rId931"/><Relationship Type="http://schemas.openxmlformats.org/officeDocument/2006/relationships/hyperlink" Target="https://letterboxd.com/film/scary-movie-5/" TargetMode="External" Id="rId932"/><Relationship Type="http://schemas.openxmlformats.org/officeDocument/2006/relationships/hyperlink" Target="https://www.imdb.com/title/tt2106476/" TargetMode="External" Id="rId933"/><Relationship Type="http://schemas.openxmlformats.org/officeDocument/2006/relationships/hyperlink" Target="https://www.filmaffinity.com/es/film858945.html" TargetMode="External" Id="rId934"/><Relationship Type="http://schemas.openxmlformats.org/officeDocument/2006/relationships/hyperlink" Target="https://letterboxd.com/film/the-hunt-2012/" TargetMode="External" Id="rId935"/><Relationship Type="http://schemas.openxmlformats.org/officeDocument/2006/relationships/hyperlink" Target="https://www.imdb.com/title/tt1853728/" TargetMode="External" Id="rId936"/><Relationship Type="http://schemas.openxmlformats.org/officeDocument/2006/relationships/hyperlink" Target="https://www.filmaffinity.com/es/film929558.html" TargetMode="External" Id="rId937"/><Relationship Type="http://schemas.openxmlformats.org/officeDocument/2006/relationships/hyperlink" Target="https://letterboxd.com/film/django-unchained/" TargetMode="External" Id="rId938"/><Relationship Type="http://schemas.openxmlformats.org/officeDocument/2006/relationships/hyperlink" Target="https://www.imdb.com/title/tt1024648/" TargetMode="External" Id="rId939"/><Relationship Type="http://schemas.openxmlformats.org/officeDocument/2006/relationships/hyperlink" Target="https://www.filmaffinity.com/es/film917469.html" TargetMode="External" Id="rId940"/><Relationship Type="http://schemas.openxmlformats.org/officeDocument/2006/relationships/hyperlink" Target="https://letterboxd.com/film/argo/" TargetMode="External" Id="rId941"/><Relationship Type="http://schemas.openxmlformats.org/officeDocument/2006/relationships/hyperlink" Target="https://www.imdb.com/title/tt1045658/" TargetMode="External" Id="rId942"/><Relationship Type="http://schemas.openxmlformats.org/officeDocument/2006/relationships/hyperlink" Target="https://www.filmaffinity.com/es/film297271.html" TargetMode="External" Id="rId943"/><Relationship Type="http://schemas.openxmlformats.org/officeDocument/2006/relationships/hyperlink" Target="https://letterboxd.com/film/silver-linings-playbook/" TargetMode="External" Id="rId944"/><Relationship Type="http://schemas.openxmlformats.org/officeDocument/2006/relationships/hyperlink" Target="https://www.imdb.com/title/tt1276104/" TargetMode="External" Id="rId945"/><Relationship Type="http://schemas.openxmlformats.org/officeDocument/2006/relationships/hyperlink" Target="https://www.filmaffinity.com/es/film301754.html" TargetMode="External" Id="rId946"/><Relationship Type="http://schemas.openxmlformats.org/officeDocument/2006/relationships/hyperlink" Target="https://letterboxd.com/film/looper/" TargetMode="External" Id="rId947"/><Relationship Type="http://schemas.openxmlformats.org/officeDocument/2006/relationships/hyperlink" Target="https://www.imdb.com/title/tt1854513/" TargetMode="External" Id="rId948"/><Relationship Type="http://schemas.openxmlformats.org/officeDocument/2006/relationships/hyperlink" Target="https://www.filmaffinity.com/es/film658540.html" TargetMode="External" Id="rId949"/><Relationship Type="http://schemas.openxmlformats.org/officeDocument/2006/relationships/hyperlink" Target="https://letterboxd.com/film/blancanieves-2012/" TargetMode="External" Id="rId950"/><Relationship Type="http://schemas.openxmlformats.org/officeDocument/2006/relationships/hyperlink" Target="https://www.imdb.com/title/tt1649419/" TargetMode="External" Id="rId951"/><Relationship Type="http://schemas.openxmlformats.org/officeDocument/2006/relationships/hyperlink" Target="https://www.filmaffinity.com/es/film329915.html" TargetMode="External" Id="rId952"/><Relationship Type="http://schemas.openxmlformats.org/officeDocument/2006/relationships/hyperlink" Target="https://letterboxd.com/film/the-impossible/" TargetMode="External" Id="rId953"/><Relationship Type="http://schemas.openxmlformats.org/officeDocument/2006/relationships/hyperlink" Target="https://www.imdb.com/title/tt0848228/" TargetMode="External" Id="rId954"/><Relationship Type="http://schemas.openxmlformats.org/officeDocument/2006/relationships/hyperlink" Target="https://www.filmaffinity.com/es/film353018.html" TargetMode="External" Id="rId955"/><Relationship Type="http://schemas.openxmlformats.org/officeDocument/2006/relationships/hyperlink" Target="https://letterboxd.com/film/the-avengers-2012/" TargetMode="External" Id="rId956"/><Relationship Type="http://schemas.openxmlformats.org/officeDocument/2006/relationships/hyperlink" Target="https://www.imdb.com/title/tt1772341/" TargetMode="External" Id="rId957"/><Relationship Type="http://schemas.openxmlformats.org/officeDocument/2006/relationships/hyperlink" Target="https://www.filmaffinity.com/es/film982317.html" TargetMode="External" Id="rId958"/><Relationship Type="http://schemas.openxmlformats.org/officeDocument/2006/relationships/hyperlink" Target="https://letterboxd.com/film/wreck-it-ralph/" TargetMode="External" Id="rId959"/><Relationship Type="http://schemas.openxmlformats.org/officeDocument/2006/relationships/hyperlink" Target="https://www.imdb.com/title/tt1636826/" TargetMode="External" Id="rId960"/><Relationship Type="http://schemas.openxmlformats.org/officeDocument/2006/relationships/hyperlink" Target="https://www.filmaffinity.com/es/film911981.html" TargetMode="External" Id="rId961"/><Relationship Type="http://schemas.openxmlformats.org/officeDocument/2006/relationships/hyperlink" Target="https://letterboxd.com/film/project-x-2012/" TargetMode="External" Id="rId962"/><Relationship Type="http://schemas.openxmlformats.org/officeDocument/2006/relationships/hyperlink" Target="https://www.imdb.com/title/tt1645170/" TargetMode="External" Id="rId963"/><Relationship Type="http://schemas.openxmlformats.org/officeDocument/2006/relationships/hyperlink" Target="https://www.filmaffinity.com/es/film518832.html" TargetMode="External" Id="rId964"/><Relationship Type="http://schemas.openxmlformats.org/officeDocument/2006/relationships/hyperlink" Target="https://letterboxd.com/film/the-dictator-2012/" TargetMode="External" Id="rId965"/><Relationship Type="http://schemas.openxmlformats.org/officeDocument/2006/relationships/hyperlink" Target="https://www.imdb.com/title/tt1599348/" TargetMode="External" Id="rId966"/><Relationship Type="http://schemas.openxmlformats.org/officeDocument/2006/relationships/hyperlink" Target="https://www.filmaffinity.com/es/film907625.html" TargetMode="External" Id="rId967"/><Relationship Type="http://schemas.openxmlformats.org/officeDocument/2006/relationships/hyperlink" Target="https://letterboxd.com/film/safe-house-2012/" TargetMode="External" Id="rId968"/><Relationship Type="http://schemas.openxmlformats.org/officeDocument/2006/relationships/hyperlink" Target="https://www.imdb.com/title/tt0837562/" TargetMode="External" Id="rId969"/><Relationship Type="http://schemas.openxmlformats.org/officeDocument/2006/relationships/hyperlink" Target="https://www.filmaffinity.com/es/film744102.html" TargetMode="External" Id="rId970"/><Relationship Type="http://schemas.openxmlformats.org/officeDocument/2006/relationships/hyperlink" Target="https://letterboxd.com/film/hotel-transylvania/" TargetMode="External" Id="rId971"/><Relationship Type="http://schemas.openxmlformats.org/officeDocument/2006/relationships/hyperlink" Target="https://www.imdb.com/title/tt1667889/" TargetMode="External" Id="rId972"/><Relationship Type="http://schemas.openxmlformats.org/officeDocument/2006/relationships/hyperlink" Target="https://www.filmaffinity.com/es/film880609.html" TargetMode="External" Id="rId973"/><Relationship Type="http://schemas.openxmlformats.org/officeDocument/2006/relationships/hyperlink" Target="https://letterboxd.com/film/ice-age-continental-drift/" TargetMode="External" Id="rId974"/><Relationship Type="http://schemas.openxmlformats.org/officeDocument/2006/relationships/hyperlink" Target="https://www.imdb.com/title/tt0948470/" TargetMode="External" Id="rId975"/><Relationship Type="http://schemas.openxmlformats.org/officeDocument/2006/relationships/hyperlink" Target="https://www.filmaffinity.com/es/film934628.html" TargetMode="External" Id="rId976"/><Relationship Type="http://schemas.openxmlformats.org/officeDocument/2006/relationships/hyperlink" Target="https://letterboxd.com/film/the-amazing-spider-man/" TargetMode="External" Id="rId977"/><Relationship Type="http://schemas.openxmlformats.org/officeDocument/2006/relationships/hyperlink" Target="https://www.imdb.com/title/tt1764625/" TargetMode="External" Id="rId978"/><Relationship Type="http://schemas.openxmlformats.org/officeDocument/2006/relationships/hyperlink" Target="https://www.filmaffinity.com/es/film823050.html" TargetMode="External" Id="rId979"/><Relationship Type="http://schemas.openxmlformats.org/officeDocument/2006/relationships/hyperlink" Target="https://letterboxd.com/film/tad-the-lost-explorer/" TargetMode="External" Id="rId980"/><Relationship Type="http://schemas.openxmlformats.org/officeDocument/2006/relationships/hyperlink" Target="https://www.imdb.com/title/tt1649444/" TargetMode="External" Id="rId981"/><Relationship Type="http://schemas.openxmlformats.org/officeDocument/2006/relationships/hyperlink" Target="https://www.filmaffinity.com/es/film774169.html" TargetMode="External" Id="rId982"/><Relationship Type="http://schemas.openxmlformats.org/officeDocument/2006/relationships/hyperlink" Target="https://letterboxd.com/film/rec-genesis/" TargetMode="External" Id="rId983"/><Relationship Type="http://schemas.openxmlformats.org/officeDocument/2006/relationships/hyperlink" Target="https://www.imdb.com/title/tt1446714/" TargetMode="External" Id="rId984"/><Relationship Type="http://schemas.openxmlformats.org/officeDocument/2006/relationships/hyperlink" Target="https://www.filmaffinity.com/es/film316885.html" TargetMode="External" Id="rId985"/><Relationship Type="http://schemas.openxmlformats.org/officeDocument/2006/relationships/hyperlink" Target="https://letterboxd.com/film/prometheus/" TargetMode="External" Id="rId986"/><Relationship Type="http://schemas.openxmlformats.org/officeDocument/2006/relationships/hyperlink" Target="https://www.imdb.com/title/tt1922777/" TargetMode="External" Id="rId987"/><Relationship Type="http://schemas.openxmlformats.org/officeDocument/2006/relationships/hyperlink" Target="https://www.filmaffinity.com/es/film262844.html" TargetMode="External" Id="rId988"/><Relationship Type="http://schemas.openxmlformats.org/officeDocument/2006/relationships/hyperlink" Target="https://letterboxd.com/film/sinister/" TargetMode="External" Id="rId989"/><Relationship Type="http://schemas.openxmlformats.org/officeDocument/2006/relationships/hyperlink" Target="https://www.imdb.com/title/tt1637725/" TargetMode="External" Id="rId990"/><Relationship Type="http://schemas.openxmlformats.org/officeDocument/2006/relationships/hyperlink" Target="https://www.filmaffinity.com/es/film599408.html" TargetMode="External" Id="rId991"/><Relationship Type="http://schemas.openxmlformats.org/officeDocument/2006/relationships/hyperlink" Target="https://letterboxd.com/film/ted/" TargetMode="External" Id="rId992"/><Relationship Type="http://schemas.openxmlformats.org/officeDocument/2006/relationships/hyperlink" Target="https://www.imdb.com/title/tt1924273/" TargetMode="External" Id="rId993"/><Relationship Type="http://schemas.openxmlformats.org/officeDocument/2006/relationships/hyperlink" Target="https://www.filmaffinity.com/es/film620957.html" TargetMode="External" Id="rId994"/><Relationship Type="http://schemas.openxmlformats.org/officeDocument/2006/relationships/hyperlink" Target="https://letterboxd.com/film/ghost-graduation/" TargetMode="External" Id="rId995"/><Relationship Type="http://schemas.openxmlformats.org/officeDocument/2006/relationships/hyperlink" Target="https://www.imdb.com/title/tt1675434/" TargetMode="External" Id="rId996"/><Relationship Type="http://schemas.openxmlformats.org/officeDocument/2006/relationships/hyperlink" Target="https://www.filmaffinity.com/es/film217719.html" TargetMode="External" Id="rId997"/><Relationship Type="http://schemas.openxmlformats.org/officeDocument/2006/relationships/hyperlink" Target="https://letterboxd.com/film/the-intouchables/" TargetMode="External" Id="rId998"/><Relationship Type="http://schemas.openxmlformats.org/officeDocument/2006/relationships/hyperlink" Target="https://www.imdb.com/title/tt0780504/" TargetMode="External" Id="rId999"/><Relationship Type="http://schemas.openxmlformats.org/officeDocument/2006/relationships/hyperlink" Target="https://www.filmaffinity.com/es/film832415.html" TargetMode="External" Id="rId1000"/><Relationship Type="http://schemas.openxmlformats.org/officeDocument/2006/relationships/hyperlink" Target="https://letterboxd.com/film/drive-2011/" TargetMode="External" Id="rId1001"/><Relationship Type="http://schemas.openxmlformats.org/officeDocument/2006/relationships/hyperlink" Target="https://www.imdb.com/title/tt1189073/" TargetMode="External" Id="rId1002"/><Relationship Type="http://schemas.openxmlformats.org/officeDocument/2006/relationships/hyperlink" Target="https://www.filmaffinity.com/es/film271066.html" TargetMode="External" Id="rId1003"/><Relationship Type="http://schemas.openxmlformats.org/officeDocument/2006/relationships/hyperlink" Target="https://letterboxd.com/film/the-skin-i-live-in/" TargetMode="External" Id="rId1004"/><Relationship Type="http://schemas.openxmlformats.org/officeDocument/2006/relationships/hyperlink" Target="https://www.imdb.com/title/tt1592521/" TargetMode="External" Id="rId1005"/><Relationship Type="http://schemas.openxmlformats.org/officeDocument/2006/relationships/hyperlink" Target="https://www.filmaffinity.com/es/film684833.html" TargetMode="External" Id="rId1006"/><Relationship Type="http://schemas.openxmlformats.org/officeDocument/2006/relationships/hyperlink" Target="https://letterboxd.com/film/cousinhood/" TargetMode="External" Id="rId1007"/><Relationship Type="http://schemas.openxmlformats.org/officeDocument/2006/relationships/hyperlink" Target="https://www.imdb.com/title/tt1437358/" TargetMode="External" Id="rId1008"/><Relationship Type="http://schemas.openxmlformats.org/officeDocument/2006/relationships/hyperlink" Target="https://www.filmaffinity.com/es/film778631.html" TargetMode="External" Id="rId1009"/><Relationship Type="http://schemas.openxmlformats.org/officeDocument/2006/relationships/hyperlink" Target="https://letterboxd.com/film/sleep-tight/" TargetMode="External" Id="rId1010"/><Relationship Type="http://schemas.openxmlformats.org/officeDocument/2006/relationships/hyperlink" Target="https://www.imdb.com/title/tt0983193/" TargetMode="External" Id="rId1011"/><Relationship Type="http://schemas.openxmlformats.org/officeDocument/2006/relationships/hyperlink" Target="https://www.filmaffinity.com/es/film338747.html" TargetMode="External" Id="rId1012"/><Relationship Type="http://schemas.openxmlformats.org/officeDocument/2006/relationships/hyperlink" Target="https://letterboxd.com/film/the-adventures-of-tintin/" TargetMode="External" Id="rId1013"/><Relationship Type="http://schemas.openxmlformats.org/officeDocument/2006/relationships/hyperlink" Target="https://www.imdb.com/title/tt1189340/" TargetMode="External" Id="rId1014"/><Relationship Type="http://schemas.openxmlformats.org/officeDocument/2006/relationships/hyperlink" Target="https://www.filmaffinity.com/es/film602725.html" TargetMode="External" Id="rId1015"/><Relationship Type="http://schemas.openxmlformats.org/officeDocument/2006/relationships/hyperlink" Target="https://letterboxd.com/film/the-lincoln-lawyer/" TargetMode="External" Id="rId1016"/><Relationship Type="http://schemas.openxmlformats.org/officeDocument/2006/relationships/hyperlink" Target="https://www.imdb.com/title/tt1842449/" TargetMode="External" Id="rId1017"/><Relationship Type="http://schemas.openxmlformats.org/officeDocument/2006/relationships/hyperlink" Target="https://www.imdb.com/title/tt0458339/" TargetMode="External" Id="rId1018"/><Relationship Type="http://schemas.openxmlformats.org/officeDocument/2006/relationships/hyperlink" Target="https://www.filmaffinity.com/es/film942015.html" TargetMode="External" Id="rId1019"/><Relationship Type="http://schemas.openxmlformats.org/officeDocument/2006/relationships/hyperlink" Target="https://letterboxd.com/film/captain-america-the-first-avenger/" TargetMode="External" Id="rId1020"/><Relationship Type="http://schemas.openxmlformats.org/officeDocument/2006/relationships/hyperlink" Target="https://www.imdb.com/title/tt1411697/" TargetMode="External" Id="rId1021"/><Relationship Type="http://schemas.openxmlformats.org/officeDocument/2006/relationships/hyperlink" Target="https://www.filmaffinity.com/es/film908796.html" TargetMode="External" Id="rId1022"/><Relationship Type="http://schemas.openxmlformats.org/officeDocument/2006/relationships/hyperlink" Target="https://letterboxd.com/film/the-hangover-part-ii/" TargetMode="External" Id="rId1023"/><Relationship Type="http://schemas.openxmlformats.org/officeDocument/2006/relationships/hyperlink" Target="https://www.imdb.com/title/tt1661862/" TargetMode="External" Id="rId1024"/><Relationship Type="http://schemas.openxmlformats.org/officeDocument/2006/relationships/hyperlink" Target="https://www.filmaffinity.com/es/film546051.html" TargetMode="External" Id="rId1025"/><Relationship Type="http://schemas.openxmlformats.org/officeDocument/2006/relationships/hyperlink" Target="https://letterboxd.com/film/no-rest-for-the-wicked/" TargetMode="External" Id="rId1026"/><Relationship Type="http://schemas.openxmlformats.org/officeDocument/2006/relationships/hyperlink" Target="https://www.imdb.com/title/tt1216475/" TargetMode="External" Id="rId1027"/><Relationship Type="http://schemas.openxmlformats.org/officeDocument/2006/relationships/hyperlink" Target="https://www.filmaffinity.com/es/film677060.html" TargetMode="External" Id="rId1028"/><Relationship Type="http://schemas.openxmlformats.org/officeDocument/2006/relationships/hyperlink" Target="https://letterboxd.com/film/cars-2/" TargetMode="External" Id="rId1029"/><Relationship Type="http://schemas.openxmlformats.org/officeDocument/2006/relationships/hyperlink" Target="https://www.imdb.com/title/tt1564367/" TargetMode="External" Id="rId1030"/><Relationship Type="http://schemas.openxmlformats.org/officeDocument/2006/relationships/hyperlink" Target="https://www.filmaffinity.com/es/film646154.html" TargetMode="External" Id="rId1031"/><Relationship Type="http://schemas.openxmlformats.org/officeDocument/2006/relationships/hyperlink" Target="https://letterboxd.com/film/just-go-with-it/" TargetMode="External" Id="rId1032"/><Relationship Type="http://schemas.openxmlformats.org/officeDocument/2006/relationships/hyperlink" Target="https://www.imdb.com/title/tt1632708/" TargetMode="External" Id="rId1033"/><Relationship Type="http://schemas.openxmlformats.org/officeDocument/2006/relationships/hyperlink" Target="https://www.filmaffinity.com/es/film397525.html" TargetMode="External" Id="rId1034"/><Relationship Type="http://schemas.openxmlformats.org/officeDocument/2006/relationships/hyperlink" Target="https://letterboxd.com/film/friends-with-benefits/" TargetMode="External" Id="rId1035"/><Relationship Type="http://schemas.openxmlformats.org/officeDocument/2006/relationships/hyperlink" Target="https://www.imdb.com/title/tt1324999/" TargetMode="External" Id="rId1036"/><Relationship Type="http://schemas.openxmlformats.org/officeDocument/2006/relationships/hyperlink" Target="https://www.filmaffinity.com/es/film233073.html" TargetMode="External" Id="rId1037"/><Relationship Type="http://schemas.openxmlformats.org/officeDocument/2006/relationships/hyperlink" Target="https://letterboxd.com/film/the-twilight-saga-breaking-dawn-part-1/" TargetMode="External" Id="rId1038"/><Relationship Type="http://schemas.openxmlformats.org/officeDocument/2006/relationships/hyperlink" Target="https://www.imdb.com/title/tt1488555/" TargetMode="External" Id="rId1039"/><Relationship Type="http://schemas.openxmlformats.org/officeDocument/2006/relationships/hyperlink" Target="https://www.filmaffinity.com/es/film484542.html" TargetMode="External" Id="rId1040"/><Relationship Type="http://schemas.openxmlformats.org/officeDocument/2006/relationships/hyperlink" Target="https://letterboxd.com/film/the-change-up/" TargetMode="External" Id="rId1041"/><Relationship Type="http://schemas.openxmlformats.org/officeDocument/2006/relationships/hyperlink" Target="https://www.imdb.com/title/tt1396218/" TargetMode="External" Id="rId1042"/><Relationship Type="http://schemas.openxmlformats.org/officeDocument/2006/relationships/hyperlink" Target="https://www.filmaffinity.com/es/film995729.html" TargetMode="External" Id="rId1043"/><Relationship Type="http://schemas.openxmlformats.org/officeDocument/2006/relationships/hyperlink" Target="https://letterboxd.com/film/mr-poppers-penguins/" TargetMode="External" Id="rId1044"/><Relationship Type="http://schemas.openxmlformats.org/officeDocument/2006/relationships/hyperlink" Target="https://www.imdb.com/title/tt1417108/" TargetMode="External" Id="rId1045"/><Relationship Type="http://schemas.openxmlformats.org/officeDocument/2006/relationships/hyperlink" Target="https://www.filmaffinity.com/es/film151621.html" TargetMode="External" Id="rId1046"/><Relationship Type="http://schemas.openxmlformats.org/officeDocument/2006/relationships/hyperlink" Target="https://letterboxd.com/film/torrente-4-lethal-crisis/" TargetMode="External" Id="rId1047"/><Relationship Type="http://schemas.openxmlformats.org/officeDocument/2006/relationships/hyperlink" Target="https://www.imdb.com/title/tt0800369/" TargetMode="External" Id="rId1048"/><Relationship Type="http://schemas.openxmlformats.org/officeDocument/2006/relationships/hyperlink" Target="https://www.filmaffinity.com/es/film358790.html" TargetMode="External" Id="rId1049"/><Relationship Type="http://schemas.openxmlformats.org/officeDocument/2006/relationships/hyperlink" Target="https://letterboxd.com/film/thor/" TargetMode="External" Id="rId1050"/><Relationship Type="http://schemas.openxmlformats.org/officeDocument/2006/relationships/hyperlink" Target="https://www.imdb.com/title/tt1375666/" TargetMode="External" Id="rId1051"/><Relationship Type="http://schemas.openxmlformats.org/officeDocument/2006/relationships/hyperlink" Target="https://www.filmaffinity.com/es/film971380.html" TargetMode="External" Id="rId1052"/><Relationship Type="http://schemas.openxmlformats.org/officeDocument/2006/relationships/hyperlink" Target="https://letterboxd.com/film/inception/" TargetMode="External" Id="rId1053"/><Relationship Type="http://schemas.openxmlformats.org/officeDocument/2006/relationships/hyperlink" Target="https://www.imdb.com/title/tt1130884/" TargetMode="External" Id="rId1054"/><Relationship Type="http://schemas.openxmlformats.org/officeDocument/2006/relationships/hyperlink" Target="https://www.filmaffinity.com/es/film173696.html" TargetMode="External" Id="rId1055"/><Relationship Type="http://schemas.openxmlformats.org/officeDocument/2006/relationships/hyperlink" Target="https://letterboxd.com/film/shutter-island/" TargetMode="External" Id="rId1056"/><Relationship Type="http://schemas.openxmlformats.org/officeDocument/2006/relationships/hyperlink" Target="https://www.imdb.com/title/tt1285016/" TargetMode="External" Id="rId1057"/><Relationship Type="http://schemas.openxmlformats.org/officeDocument/2006/relationships/hyperlink" Target="https://www.filmaffinity.com/es/film577699.html" TargetMode="External" Id="rId1058"/><Relationship Type="http://schemas.openxmlformats.org/officeDocument/2006/relationships/hyperlink" Target="https://letterboxd.com/film/the-social-network/" TargetMode="External" Id="rId1059"/><Relationship Type="http://schemas.openxmlformats.org/officeDocument/2006/relationships/hyperlink" Target="https://www.imdb.com/title/tt0435761/" TargetMode="External" Id="rId1060"/><Relationship Type="http://schemas.openxmlformats.org/officeDocument/2006/relationships/hyperlink" Target="https://www.filmaffinity.com/es/film612761.html" TargetMode="External" Id="rId1061"/><Relationship Type="http://schemas.openxmlformats.org/officeDocument/2006/relationships/hyperlink" Target="https://letterboxd.com/film/toy-story-3/" TargetMode="External" Id="rId1062"/><Relationship Type="http://schemas.openxmlformats.org/officeDocument/2006/relationships/hyperlink" Target="https://www.imdb.com/title/tt1341167/" TargetMode="External" Id="rId1063"/><Relationship Type="http://schemas.openxmlformats.org/officeDocument/2006/relationships/hyperlink" Target="https://www.filmaffinity.com/es/film412669.html" TargetMode="External" Id="rId1064"/><Relationship Type="http://schemas.openxmlformats.org/officeDocument/2006/relationships/hyperlink" Target="https://letterboxd.com/film/four-lions/" TargetMode="External" Id="rId1065"/><Relationship Type="http://schemas.openxmlformats.org/officeDocument/2006/relationships/hyperlink" Target="https://www.imdb.com/title/tt1188996/" TargetMode="External" Id="rId1066"/><Relationship Type="http://schemas.openxmlformats.org/officeDocument/2006/relationships/hyperlink" Target="https://www.filmaffinity.com/es/film407900.html" TargetMode="External" Id="rId1067"/><Relationship Type="http://schemas.openxmlformats.org/officeDocument/2006/relationships/hyperlink" Target="https://letterboxd.com/film/my-name-is-khan/" TargetMode="External" Id="rId1068"/><Relationship Type="http://schemas.openxmlformats.org/officeDocument/2006/relationships/hyperlink" Target="https://www.imdb.com/title/tt1228705/" TargetMode="External" Id="rId1069"/><Relationship Type="http://schemas.openxmlformats.org/officeDocument/2006/relationships/hyperlink" Target="https://www.filmaffinity.com/es/film250528.html" TargetMode="External" Id="rId1070"/><Relationship Type="http://schemas.openxmlformats.org/officeDocument/2006/relationships/hyperlink" Target="https://letterboxd.com/film/iron-man-2/" TargetMode="External" Id="rId1071"/><Relationship Type="http://schemas.openxmlformats.org/officeDocument/2006/relationships/hyperlink" Target="https://www.imdb.com/title/tt0892769/" TargetMode="External" Id="rId1072"/><Relationship Type="http://schemas.openxmlformats.org/officeDocument/2006/relationships/hyperlink" Target="https://www.filmaffinity.com/es/film992704.html" TargetMode="External" Id="rId1073"/><Relationship Type="http://schemas.openxmlformats.org/officeDocument/2006/relationships/hyperlink" Target="https://letterboxd.com/film/how-to-train-your-dragon/" TargetMode="External" Id="rId1074"/><Relationship Type="http://schemas.openxmlformats.org/officeDocument/2006/relationships/hyperlink" Target="https://www.imdb.com/title/tt1591095/" TargetMode="External" Id="rId1075"/><Relationship Type="http://schemas.openxmlformats.org/officeDocument/2006/relationships/hyperlink" Target="https://www.filmaffinity.com/es/film760103.html" TargetMode="External" Id="rId1076"/><Relationship Type="http://schemas.openxmlformats.org/officeDocument/2006/relationships/hyperlink" Target="https://letterboxd.com/film/insidious/" TargetMode="External" Id="rId1077"/><Relationship Type="http://schemas.openxmlformats.org/officeDocument/2006/relationships/hyperlink" Target="https://www.imdb.com/title/tt1323594/" TargetMode="External" Id="rId1078"/><Relationship Type="http://schemas.openxmlformats.org/officeDocument/2006/relationships/hyperlink" Target="https://www.filmaffinity.com/es/film203645.html" TargetMode="External" Id="rId1079"/><Relationship Type="http://schemas.openxmlformats.org/officeDocument/2006/relationships/hyperlink" Target="https://letterboxd.com/film/despicable-me/" TargetMode="External" Id="rId1080"/><Relationship Type="http://schemas.openxmlformats.org/officeDocument/2006/relationships/hyperlink" Target="https://www.imdb.com/title/tt1462758/" TargetMode="External" Id="rId1081"/><Relationship Type="http://schemas.openxmlformats.org/officeDocument/2006/relationships/hyperlink" Target="https://www.filmaffinity.com/es/film856879.html" TargetMode="External" Id="rId1082"/><Relationship Type="http://schemas.openxmlformats.org/officeDocument/2006/relationships/hyperlink" Target="https://letterboxd.com/film/buried/" TargetMode="External" Id="rId1083"/><Relationship Type="http://schemas.openxmlformats.org/officeDocument/2006/relationships/hyperlink" Target="https://www.imdb.com/title/tt1629377/" TargetMode="External" Id="rId1084"/><Relationship Type="http://schemas.openxmlformats.org/officeDocument/2006/relationships/hyperlink" Target="https://www.filmaffinity.com/es/film651229.html" TargetMode="External" Id="rId1085"/><Relationship Type="http://schemas.openxmlformats.org/officeDocument/2006/relationships/hyperlink" Target="https://letterboxd.com/film/kidnapped-2010/" TargetMode="External" Id="rId1086"/><Relationship Type="http://schemas.openxmlformats.org/officeDocument/2006/relationships/hyperlink" Target="https://www.imdb.com/title/tt1475400/" TargetMode="External" Id="rId1087"/><Relationship Type="http://schemas.openxmlformats.org/officeDocument/2006/relationships/hyperlink" Target="https://www.filmaffinity.com/es/film719662.html" TargetMode="External" Id="rId1088"/><Relationship Type="http://schemas.openxmlformats.org/officeDocument/2006/relationships/hyperlink" Target="https://letterboxd.com/film/to-hell-with-the-ugly/" TargetMode="External" Id="rId1089"/><Relationship Type="http://schemas.openxmlformats.org/officeDocument/2006/relationships/hyperlink" Target="https://www.imdb.com/title/tt1014759/" TargetMode="External" Id="rId1090"/><Relationship Type="http://schemas.openxmlformats.org/officeDocument/2006/relationships/hyperlink" Target="https://www.filmaffinity.com/es/film362992.html" TargetMode="External" Id="rId1091"/><Relationship Type="http://schemas.openxmlformats.org/officeDocument/2006/relationships/hyperlink" Target="https://letterboxd.com/film/alice-in-wonderland-2010/" TargetMode="External" Id="rId1092"/><Relationship Type="http://schemas.openxmlformats.org/officeDocument/2006/relationships/hyperlink" Target="https://www.imdb.com/title/tt1325004/" TargetMode="External" Id="rId1093"/><Relationship Type="http://schemas.openxmlformats.org/officeDocument/2006/relationships/hyperlink" Target="https://www.filmaffinity.com/es/film327585.html" TargetMode="External" Id="rId1094"/><Relationship Type="http://schemas.openxmlformats.org/officeDocument/2006/relationships/hyperlink" Target="https://letterboxd.com/film/the-twilight-saga-eclipse/" TargetMode="External" Id="rId1095"/><Relationship Type="http://schemas.openxmlformats.org/officeDocument/2006/relationships/hyperlink" Target="https://www.imdb.com/title/tt1375670/" TargetMode="External" Id="rId1096"/><Relationship Type="http://schemas.openxmlformats.org/officeDocument/2006/relationships/hyperlink" Target="https://www.filmaffinity.com/es/film933281.html" TargetMode="External" Id="rId1097"/><Relationship Type="http://schemas.openxmlformats.org/officeDocument/2006/relationships/hyperlink" Target="https://letterboxd.com/film/grown-ups/" TargetMode="External" Id="rId1098"/><Relationship Type="http://schemas.openxmlformats.org/officeDocument/2006/relationships/hyperlink" Target="https://www.imdb.com/title/tt1415283/" TargetMode="External" Id="rId1099"/><Relationship Type="http://schemas.openxmlformats.org/officeDocument/2006/relationships/hyperlink" Target="https://www.filmaffinity.com/es/film903784.html" TargetMode="External" Id="rId1100"/><Relationship Type="http://schemas.openxmlformats.org/officeDocument/2006/relationships/hyperlink" Target="https://letterboxd.com/film/nanny-mcphee-returns/" TargetMode="External" Id="rId1101"/><Relationship Type="http://schemas.openxmlformats.org/officeDocument/2006/relationships/hyperlink" Target="https://www.imdb.com/title/tt0361748/" TargetMode="External" Id="rId1102"/><Relationship Type="http://schemas.openxmlformats.org/officeDocument/2006/relationships/hyperlink" Target="https://www.filmaffinity.com/es/film746997.html" TargetMode="External" Id="rId1103"/><Relationship Type="http://schemas.openxmlformats.org/officeDocument/2006/relationships/hyperlink" Target="https://letterboxd.com/film/inglourious-basterds/" TargetMode="External" Id="rId1104"/><Relationship Type="http://schemas.openxmlformats.org/officeDocument/2006/relationships/hyperlink" Target="https://www.imdb.com/title/tt1242422/" TargetMode="External" Id="rId1105"/><Relationship Type="http://schemas.openxmlformats.org/officeDocument/2006/relationships/hyperlink" Target="https://www.filmaffinity.com/es/film270489.html" TargetMode="External" Id="rId1106"/><Relationship Type="http://schemas.openxmlformats.org/officeDocument/2006/relationships/hyperlink" Target="https://letterboxd.com/film/cell-211/" TargetMode="External" Id="rId1107"/><Relationship Type="http://schemas.openxmlformats.org/officeDocument/2006/relationships/hyperlink" Target="https://www.imdb.com/title/tt1049413/" TargetMode="External" Id="rId1108"/><Relationship Type="http://schemas.openxmlformats.org/officeDocument/2006/relationships/hyperlink" Target="https://www.filmaffinity.com/es/film777460.html" TargetMode="External" Id="rId1109"/><Relationship Type="http://schemas.openxmlformats.org/officeDocument/2006/relationships/hyperlink" Target="https://letterboxd.com/film/up/" TargetMode="External" Id="rId1110"/><Relationship Type="http://schemas.openxmlformats.org/officeDocument/2006/relationships/hyperlink" Target="https://www.imdb.com/title/tt1119646/" TargetMode="External" Id="rId1111"/><Relationship Type="http://schemas.openxmlformats.org/officeDocument/2006/relationships/hyperlink" Target="https://www.filmaffinity.com/es/film986797.html" TargetMode="External" Id="rId1112"/><Relationship Type="http://schemas.openxmlformats.org/officeDocument/2006/relationships/hyperlink" Target="https://letterboxd.com/film/the-hangover/" TargetMode="External" Id="rId1113"/><Relationship Type="http://schemas.openxmlformats.org/officeDocument/2006/relationships/hyperlink" Target="https://www.imdb.com/title/tt1245112/" TargetMode="External" Id="rId1114"/><Relationship Type="http://schemas.openxmlformats.org/officeDocument/2006/relationships/hyperlink" Target="https://www.filmaffinity.com/es/film739823.html" TargetMode="External" Id="rId1115"/><Relationship Type="http://schemas.openxmlformats.org/officeDocument/2006/relationships/hyperlink" Target="https://letterboxd.com/film/rec-2/" TargetMode="External" Id="rId1116"/><Relationship Type="http://schemas.openxmlformats.org/officeDocument/2006/relationships/hyperlink" Target="https://www.imdb.com/title/tt0762125/" TargetMode="External" Id="rId1117"/><Relationship Type="http://schemas.openxmlformats.org/officeDocument/2006/relationships/hyperlink" Target="https://www.filmaffinity.com/es/film835976.html" TargetMode="External" Id="rId1118"/><Relationship Type="http://schemas.openxmlformats.org/officeDocument/2006/relationships/hyperlink" Target="https://letterboxd.com/film/planet-51/" TargetMode="External" Id="rId1119"/><Relationship Type="http://schemas.openxmlformats.org/officeDocument/2006/relationships/hyperlink" Target="https://www.imdb.com/title/tt1259571/" TargetMode="External" Id="rId1120"/><Relationship Type="http://schemas.openxmlformats.org/officeDocument/2006/relationships/hyperlink" Target="https://www.filmaffinity.com/es/film932337.html" TargetMode="External" Id="rId1121"/><Relationship Type="http://schemas.openxmlformats.org/officeDocument/2006/relationships/hyperlink" Target="https://letterboxd.com/film/the-twilight-saga-new-moon/" TargetMode="External" Id="rId1122"/><Relationship Type="http://schemas.openxmlformats.org/officeDocument/2006/relationships/hyperlink" Target="https://www.imdb.com/title/tt1080016/" TargetMode="External" Id="rId1123"/><Relationship Type="http://schemas.openxmlformats.org/officeDocument/2006/relationships/hyperlink" Target="https://www.filmaffinity.com/es/film990010.html" TargetMode="External" Id="rId1124"/><Relationship Type="http://schemas.openxmlformats.org/officeDocument/2006/relationships/hyperlink" Target="https://letterboxd.com/film/ice-age-dawn-of-the-dinosaurs/" TargetMode="External" Id="rId1125"/><Relationship Type="http://schemas.openxmlformats.org/officeDocument/2006/relationships/hyperlink" Target="https://www.imdb.com/title/tt1041829/" TargetMode="External" Id="rId1126"/><Relationship Type="http://schemas.openxmlformats.org/officeDocument/2006/relationships/hyperlink" Target="https://www.filmaffinity.com/es/film221464.html" TargetMode="External" Id="rId1127"/><Relationship Type="http://schemas.openxmlformats.org/officeDocument/2006/relationships/hyperlink" Target="https://letterboxd.com/film/the-proposal-2009/" TargetMode="External" Id="rId1128"/><Relationship Type="http://schemas.openxmlformats.org/officeDocument/2006/relationships/hyperlink" Target="https://www.imdb.com/title/tt1376706/" TargetMode="External" Id="rId1129"/><Relationship Type="http://schemas.openxmlformats.org/officeDocument/2006/relationships/hyperlink" Target="https://www.imdb.com/title/tt1272013/" TargetMode="External" Id="rId1130"/><Relationship Type="http://schemas.openxmlformats.org/officeDocument/2006/relationships/hyperlink" Target="https://www.filmaffinity.com/es/film736154.html" TargetMode="External" Id="rId1131"/><Relationship Type="http://schemas.openxmlformats.org/officeDocument/2006/relationships/hyperlink" Target="https://letterboxd.com/film/brain-drain-2009/" TargetMode="External" Id="rId1132"/><Relationship Type="http://schemas.openxmlformats.org/officeDocument/2006/relationships/hyperlink" Target="https://www.imdb.com/title/tt1190080/" TargetMode="External" Id="rId1133"/><Relationship Type="http://schemas.openxmlformats.org/officeDocument/2006/relationships/hyperlink" Target="https://www.filmaffinity.com/es/film403489.html" TargetMode="External" Id="rId1134"/><Relationship Type="http://schemas.openxmlformats.org/officeDocument/2006/relationships/hyperlink" Target="https://letterboxd.com/film/2012/" TargetMode="External" Id="rId1135"/><Relationship Type="http://schemas.openxmlformats.org/officeDocument/2006/relationships/hyperlink" Target="https://www.imdb.com/title/tt0436339/" TargetMode="External" Id="rId1136"/><Relationship Type="http://schemas.openxmlformats.org/officeDocument/2006/relationships/hyperlink" Target="https://www.filmaffinity.com/es/film200739.html" TargetMode="External" Id="rId1137"/><Relationship Type="http://schemas.openxmlformats.org/officeDocument/2006/relationships/hyperlink" Target="https://letterboxd.com/film/g-force/" TargetMode="External" Id="rId1138"/><Relationship Type="http://schemas.openxmlformats.org/officeDocument/2006/relationships/hyperlink" Target="https://www.imdb.com/title/tt1484922/" TargetMode="External" Id="rId1139"/><Relationship Type="http://schemas.openxmlformats.org/officeDocument/2006/relationships/hyperlink" Target="https://www.filmaffinity.com/es/film433835.html" TargetMode="External" Id="rId1140"/><Relationship Type="http://schemas.openxmlformats.org/officeDocument/2006/relationships/hyperlink" Target="https://letterboxd.com/film/barbie-and-the-three-musketeers/" TargetMode="External" Id="rId1141"/><Relationship Type="http://schemas.openxmlformats.org/officeDocument/2006/relationships/hyperlink" Target="https://www.imdb.com/title/tt1467391/" TargetMode="External" Id="rId1142"/><Relationship Type="http://schemas.openxmlformats.org/officeDocument/2006/relationships/hyperlink" Target="https://www.filmaffinity.com/es/film130448.html" TargetMode="External" Id="rId1143"/><Relationship Type="http://schemas.openxmlformats.org/officeDocument/2006/relationships/hyperlink" Target="https://letterboxd.com/film/spanish-movie/" TargetMode="External" Id="rId1144"/><Relationship Type="http://schemas.openxmlformats.org/officeDocument/2006/relationships/hyperlink" Target="https://www.imdb.com/title/tt0822833/" TargetMode="External" Id="rId1145"/><Relationship Type="http://schemas.openxmlformats.org/officeDocument/2006/relationships/hyperlink" Target="https://www.filmaffinity.com/es/film968394.html" TargetMode="External" Id="rId1146"/><Relationship Type="http://schemas.openxmlformats.org/officeDocument/2006/relationships/hyperlink" Target="https://letterboxd.com/film/sex-party-and-lies/" TargetMode="External" Id="rId1147"/><Relationship Type="http://schemas.openxmlformats.org/officeDocument/2006/relationships/hyperlink" Target="https://www.imdb.com/title/tt0468569/" TargetMode="External" Id="rId1148"/><Relationship Type="http://schemas.openxmlformats.org/officeDocument/2006/relationships/hyperlink" Target="https://www.filmaffinity.com/es/film867354.html" TargetMode="External" Id="rId1149"/><Relationship Type="http://schemas.openxmlformats.org/officeDocument/2006/relationships/hyperlink" Target="https://letterboxd.com/film/the-dark-knight/" TargetMode="External" Id="rId1150"/><Relationship Type="http://schemas.openxmlformats.org/officeDocument/2006/relationships/hyperlink" Target="https://www.imdb.com/title/tt0910970/" TargetMode="External" Id="rId1151"/><Relationship Type="http://schemas.openxmlformats.org/officeDocument/2006/relationships/hyperlink" Target="https://www.filmaffinity.com/es/film744679.html" TargetMode="External" Id="rId1152"/><Relationship Type="http://schemas.openxmlformats.org/officeDocument/2006/relationships/hyperlink" Target="https://letterboxd.com/film/walle/" TargetMode="External" Id="rId1153"/><Relationship Type="http://schemas.openxmlformats.org/officeDocument/2006/relationships/hyperlink" Target="https://www.imdb.com/title/tt1205489/" TargetMode="External" Id="rId1154"/><Relationship Type="http://schemas.openxmlformats.org/officeDocument/2006/relationships/hyperlink" Target="https://www.filmaffinity.com/es/film539054.html" TargetMode="External" Id="rId1155"/><Relationship Type="http://schemas.openxmlformats.org/officeDocument/2006/relationships/hyperlink" Target="https://letterboxd.com/film/gran-torino/" TargetMode="External" Id="rId1156"/><Relationship Type="http://schemas.openxmlformats.org/officeDocument/2006/relationships/hyperlink" Target="https://www.imdb.com/title/tt1063669/" TargetMode="External" Id="rId1157"/><Relationship Type="http://schemas.openxmlformats.org/officeDocument/2006/relationships/hyperlink" Target="https://www.filmaffinity.com/es/film695239.html" TargetMode="External" Id="rId1158"/><Relationship Type="http://schemas.openxmlformats.org/officeDocument/2006/relationships/hyperlink" Target="https://letterboxd.com/film/the-wave-2008/" TargetMode="External" Id="rId1159"/><Relationship Type="http://schemas.openxmlformats.org/officeDocument/2006/relationships/hyperlink" Target="https://www.imdb.com/title/tt1206285/" TargetMode="External" Id="rId1160"/><Relationship Type="http://schemas.openxmlformats.org/officeDocument/2006/relationships/hyperlink" Target="https://www.filmaffinity.com/es/film373499.html" TargetMode="External" Id="rId1161"/><Relationship Type="http://schemas.openxmlformats.org/officeDocument/2006/relationships/hyperlink" Target="https://letterboxd.com/film/camino/" TargetMode="External" Id="rId1162"/><Relationship Type="http://schemas.openxmlformats.org/officeDocument/2006/relationships/hyperlink" Target="https://www.imdb.com/title/tt1233205/" TargetMode="External" Id="rId1163"/><Relationship Type="http://schemas.openxmlformats.org/officeDocument/2006/relationships/hyperlink" Target="https://www.imdb.com/title/tt1099212/" TargetMode="External" Id="rId1164"/><Relationship Type="http://schemas.openxmlformats.org/officeDocument/2006/relationships/hyperlink" Target="https://www.filmaffinity.com/es/film146914.html" TargetMode="External" Id="rId1165"/><Relationship Type="http://schemas.openxmlformats.org/officeDocument/2006/relationships/hyperlink" Target="https://letterboxd.com/film/twilight-2008/" TargetMode="External" Id="rId1166"/><Relationship Type="http://schemas.openxmlformats.org/officeDocument/2006/relationships/hyperlink" Target="https://www.imdb.com/title/tt0479952/" TargetMode="External" Id="rId1167"/><Relationship Type="http://schemas.openxmlformats.org/officeDocument/2006/relationships/hyperlink" Target="https://www.filmaffinity.com/es/film603890.html" TargetMode="External" Id="rId1168"/><Relationship Type="http://schemas.openxmlformats.org/officeDocument/2006/relationships/hyperlink" Target="https://letterboxd.com/film/madagascar-escape-2-africa/" TargetMode="External" Id="rId1169"/><Relationship Type="http://schemas.openxmlformats.org/officeDocument/2006/relationships/hyperlink" Target="https://www.imdb.com/title/tt0441773/" TargetMode="External" Id="rId1170"/><Relationship Type="http://schemas.openxmlformats.org/officeDocument/2006/relationships/hyperlink" Target="https://www.filmaffinity.com/es/film647775.html" TargetMode="External" Id="rId1171"/><Relationship Type="http://schemas.openxmlformats.org/officeDocument/2006/relationships/hyperlink" Target="https://letterboxd.com/film/kung-fu-panda/" TargetMode="External" Id="rId1172"/><Relationship Type="http://schemas.openxmlformats.org/officeDocument/2006/relationships/hyperlink" Target="https://www.imdb.com/title/tt0795421/" TargetMode="External" Id="rId1173"/><Relationship Type="http://schemas.openxmlformats.org/officeDocument/2006/relationships/hyperlink" Target="https://www.filmaffinity.com/es/film336014.html" TargetMode="External" Id="rId1174"/><Relationship Type="http://schemas.openxmlformats.org/officeDocument/2006/relationships/hyperlink" Target="https://letterboxd.com/film/mamma-mia/" TargetMode="External" Id="rId1175"/><Relationship Type="http://schemas.openxmlformats.org/officeDocument/2006/relationships/hyperlink" Target="https://www.imdb.com/title/tt1221815/" TargetMode="External" Id="rId1176"/><Relationship Type="http://schemas.openxmlformats.org/officeDocument/2006/relationships/hyperlink" Target="https://www.imdb.com/title/tt1038988/" TargetMode="External" Id="rId1177"/><Relationship Type="http://schemas.openxmlformats.org/officeDocument/2006/relationships/hyperlink" Target="https://www.filmaffinity.com/es/film575554.html" TargetMode="External" Id="rId1178"/><Relationship Type="http://schemas.openxmlformats.org/officeDocument/2006/relationships/hyperlink" Target="https://letterboxd.com/film/rec/" TargetMode="External" Id="rId1179"/><Relationship Type="http://schemas.openxmlformats.org/officeDocument/2006/relationships/hyperlink" Target="https://www.imdb.com/title/tt0805564/" TargetMode="External" Id="rId1180"/><Relationship Type="http://schemas.openxmlformats.org/officeDocument/2006/relationships/hyperlink" Target="https://www.filmaffinity.com/es/film764156.html" TargetMode="External" Id="rId1181"/><Relationship Type="http://schemas.openxmlformats.org/officeDocument/2006/relationships/hyperlink" Target="https://letterboxd.com/film/lars-and-the-real-girl/" TargetMode="External" Id="rId1182"/><Relationship Type="http://schemas.openxmlformats.org/officeDocument/2006/relationships/hyperlink" Target="https://www.imdb.com/title/tt0443706/" TargetMode="External" Id="rId1183"/><Relationship Type="http://schemas.openxmlformats.org/officeDocument/2006/relationships/hyperlink" Target="https://www.filmaffinity.com/es/film300908.html" TargetMode="External" Id="rId1184"/><Relationship Type="http://schemas.openxmlformats.org/officeDocument/2006/relationships/hyperlink" Target="https://letterboxd.com/film/zodiac/" TargetMode="External" Id="rId1185"/><Relationship Type="http://schemas.openxmlformats.org/officeDocument/2006/relationships/hyperlink" Target="https://www.imdb.com/title/tt0480249/" TargetMode="External" Id="rId1186"/><Relationship Type="http://schemas.openxmlformats.org/officeDocument/2006/relationships/hyperlink" Target="https://www.filmaffinity.com/es/film356363.html" TargetMode="External" Id="rId1187"/><Relationship Type="http://schemas.openxmlformats.org/officeDocument/2006/relationships/hyperlink" Target="https://letterboxd.com/film/i-am-legend/" TargetMode="External" Id="rId1188"/><Relationship Type="http://schemas.openxmlformats.org/officeDocument/2006/relationships/hyperlink" Target="https://www.imdb.com/title/tt0382932/" TargetMode="External" Id="rId1189"/><Relationship Type="http://schemas.openxmlformats.org/officeDocument/2006/relationships/hyperlink" Target="https://www.filmaffinity.com/es/film496720.html" TargetMode="External" Id="rId1190"/><Relationship Type="http://schemas.openxmlformats.org/officeDocument/2006/relationships/hyperlink" Target="https://letterboxd.com/film/ratatouille/" TargetMode="External" Id="rId1191"/><Relationship Type="http://schemas.openxmlformats.org/officeDocument/2006/relationships/hyperlink" Target="https://www.imdb.com/title/tt0829482/" TargetMode="External" Id="rId1192"/><Relationship Type="http://schemas.openxmlformats.org/officeDocument/2006/relationships/hyperlink" Target="https://www.filmaffinity.com/es/film897001.html" TargetMode="External" Id="rId1193"/><Relationship Type="http://schemas.openxmlformats.org/officeDocument/2006/relationships/hyperlink" Target="https://letterboxd.com/film/superbad/" TargetMode="External" Id="rId1194"/><Relationship Type="http://schemas.openxmlformats.org/officeDocument/2006/relationships/hyperlink" Target="https://www.imdb.com/title/tt0472062/" TargetMode="External" Id="rId1195"/><Relationship Type="http://schemas.openxmlformats.org/officeDocument/2006/relationships/hyperlink" Target="https://www.filmaffinity.com/es/film310693.html" TargetMode="External" Id="rId1196"/><Relationship Type="http://schemas.openxmlformats.org/officeDocument/2006/relationships/hyperlink" Target="https://letterboxd.com/film/charlie-wilsons-war/" TargetMode="External" Id="rId1197"/><Relationship Type="http://schemas.openxmlformats.org/officeDocument/2006/relationships/hyperlink" Target="https://www.imdb.com/title/tt0467406/" TargetMode="External" Id="rId1198"/><Relationship Type="http://schemas.openxmlformats.org/officeDocument/2006/relationships/hyperlink" Target="https://www.filmaffinity.com/es/film617167.html" TargetMode="External" Id="rId1199"/><Relationship Type="http://schemas.openxmlformats.org/officeDocument/2006/relationships/hyperlink" Target="https://letterboxd.com/film/juno/" TargetMode="External" Id="rId1200"/><Relationship Type="http://schemas.openxmlformats.org/officeDocument/2006/relationships/hyperlink" Target="https://www.imdb.com/title/tt0837564/" TargetMode="External" Id="rId1201"/><Relationship Type="http://schemas.openxmlformats.org/officeDocument/2006/relationships/hyperlink" Target="https://www.imdb.com/title/tt1016301/" TargetMode="External" Id="rId1202"/><Relationship Type="http://schemas.openxmlformats.org/officeDocument/2006/relationships/hyperlink" Target="https://www.filmaffinity.com/es/film615789.html" TargetMode="External" Id="rId1203"/><Relationship Type="http://schemas.openxmlformats.org/officeDocument/2006/relationships/hyperlink" Target="https://letterboxd.com/film/fermats-room/" TargetMode="External" Id="rId1204"/><Relationship Type="http://schemas.openxmlformats.org/officeDocument/2006/relationships/hyperlink" Target="https://www.imdb.com/title/tt0486576/" TargetMode="External" Id="rId1205"/><Relationship Type="http://schemas.openxmlformats.org/officeDocument/2006/relationships/hyperlink" Target="https://www.filmaffinity.com/es/film179421.html" TargetMode="External" Id="rId1206"/><Relationship Type="http://schemas.openxmlformats.org/officeDocument/2006/relationships/hyperlink" Target="https://letterboxd.com/film/fantastic-four-rise-of-the-silver-surfer/" TargetMode="External" Id="rId1207"/><Relationship Type="http://schemas.openxmlformats.org/officeDocument/2006/relationships/hyperlink" Target="https://www.imdb.com/title/tt0812221/" TargetMode="External" Id="rId1208"/><Relationship Type="http://schemas.openxmlformats.org/officeDocument/2006/relationships/hyperlink" Target="https://www.filmaffinity.com/es/film172896.html" TargetMode="External" Id="rId1209"/><Relationship Type="http://schemas.openxmlformats.org/officeDocument/2006/relationships/hyperlink" Target="https://letterboxd.com/film/cafe-solo-o-con-ellas/" TargetMode="External" Id="rId1210"/><Relationship Type="http://schemas.openxmlformats.org/officeDocument/2006/relationships/hyperlink" Target="https://www.imdb.com/title/tt0404203/" TargetMode="External" Id="rId1211"/><Relationship Type="http://schemas.openxmlformats.org/officeDocument/2006/relationships/hyperlink" Target="https://www.filmaffinity.com/es/film289621.html" TargetMode="External" Id="rId1212"/><Relationship Type="http://schemas.openxmlformats.org/officeDocument/2006/relationships/hyperlink" Target="https://letterboxd.com/film/little-children/" TargetMode="External" Id="rId1213"/><Relationship Type="http://schemas.openxmlformats.org/officeDocument/2006/relationships/hyperlink" Target="https://www.imdb.com/title/tt0362225/" TargetMode="External" Id="rId1214"/><Relationship Type="http://schemas.openxmlformats.org/officeDocument/2006/relationships/hyperlink" Target="https://www.filmaffinity.com/es/film927843.html" TargetMode="External" Id="rId1215"/><Relationship Type="http://schemas.openxmlformats.org/officeDocument/2006/relationships/hyperlink" Target="https://letterboxd.com/film/tell-no-one/" TargetMode="External" Id="rId1216"/><Relationship Type="http://schemas.openxmlformats.org/officeDocument/2006/relationships/hyperlink" Target="https://www.imdb.com/title/tt0407887/" TargetMode="External" Id="rId1217"/><Relationship Type="http://schemas.openxmlformats.org/officeDocument/2006/relationships/hyperlink" Target="https://www.filmaffinity.com/es/film518309.html" TargetMode="External" Id="rId1218"/><Relationship Type="http://schemas.openxmlformats.org/officeDocument/2006/relationships/hyperlink" Target="https://letterboxd.com/film/the-departed/" TargetMode="External" Id="rId1219"/><Relationship Type="http://schemas.openxmlformats.org/officeDocument/2006/relationships/hyperlink" Target="https://www.imdb.com/title/tt0482571/" TargetMode="External" Id="rId1220"/><Relationship Type="http://schemas.openxmlformats.org/officeDocument/2006/relationships/hyperlink" Target="https://www.filmaffinity.com/es/film343841.html" TargetMode="External" Id="rId1221"/><Relationship Type="http://schemas.openxmlformats.org/officeDocument/2006/relationships/hyperlink" Target="https://letterboxd.com/film/the-prestige/" TargetMode="External" Id="rId1222"/><Relationship Type="http://schemas.openxmlformats.org/officeDocument/2006/relationships/hyperlink" Target="https://www.imdb.com/title/tt0441909/" TargetMode="External" Id="rId1223"/><Relationship Type="http://schemas.openxmlformats.org/officeDocument/2006/relationships/hyperlink" Target="https://www.filmaffinity.com/es/film428723.html" TargetMode="External" Id="rId1224"/><Relationship Type="http://schemas.openxmlformats.org/officeDocument/2006/relationships/hyperlink" Target="https://letterboxd.com/film/volver/" TargetMode="External" Id="rId1225"/><Relationship Type="http://schemas.openxmlformats.org/officeDocument/2006/relationships/hyperlink" Target="https://www.imdb.com/title/tt0438097/" TargetMode="External" Id="rId1226"/><Relationship Type="http://schemas.openxmlformats.org/officeDocument/2006/relationships/hyperlink" Target="https://www.filmaffinity.com/es/film646948.html" TargetMode="External" Id="rId1227"/><Relationship Type="http://schemas.openxmlformats.org/officeDocument/2006/relationships/hyperlink" Target="https://letterboxd.com/film/ice-age-the-meltdown/" TargetMode="External" Id="rId1228"/><Relationship Type="http://schemas.openxmlformats.org/officeDocument/2006/relationships/hyperlink" Target="https://www.imdb.com/title/tt0814044/" TargetMode="External" Id="rId1229"/><Relationship Type="http://schemas.openxmlformats.org/officeDocument/2006/relationships/hyperlink" Target="https://www.imdb.com/title/tt0410297/" TargetMode="External" Id="rId1230"/><Relationship Type="http://schemas.openxmlformats.org/officeDocument/2006/relationships/hyperlink" Target="https://www.filmaffinity.com/es/film108080.html" TargetMode="External" Id="rId1231"/><Relationship Type="http://schemas.openxmlformats.org/officeDocument/2006/relationships/hyperlink" Target="https://letterboxd.com/film/the-lake-house/" TargetMode="External" Id="rId1232"/><Relationship Type="http://schemas.openxmlformats.org/officeDocument/2006/relationships/hyperlink" Target="https://www.imdb.com/title/tt0463985/" TargetMode="External" Id="rId1233"/><Relationship Type="http://schemas.openxmlformats.org/officeDocument/2006/relationships/hyperlink" Target="https://www.filmaffinity.com/es/film445767.html" TargetMode="External" Id="rId1234"/><Relationship Type="http://schemas.openxmlformats.org/officeDocument/2006/relationships/hyperlink" Target="https://letterboxd.com/film/the-fast-and-the-furious-tokyo-drift/" TargetMode="External" Id="rId1235"/><Relationship Type="http://schemas.openxmlformats.org/officeDocument/2006/relationships/hyperlink" Target="https://www.imdb.com/title/tt0366548/" TargetMode="External" Id="rId1236"/><Relationship Type="http://schemas.openxmlformats.org/officeDocument/2006/relationships/hyperlink" Target="https://www.filmaffinity.com/es/film675344.html" TargetMode="External" Id="rId1237"/><Relationship Type="http://schemas.openxmlformats.org/officeDocument/2006/relationships/hyperlink" Target="https://letterboxd.com/film/happy-feet/" TargetMode="External" Id="rId1238"/><Relationship Type="http://schemas.openxmlformats.org/officeDocument/2006/relationships/hyperlink" Target="https://www.imdb.com/title/tt0489270/" TargetMode="External" Id="rId1239"/><Relationship Type="http://schemas.openxmlformats.org/officeDocument/2006/relationships/hyperlink" Target="https://www.filmaffinity.com/es/film192074.html" TargetMode="External" Id="rId1240"/><Relationship Type="http://schemas.openxmlformats.org/officeDocument/2006/relationships/hyperlink" Target="https://letterboxd.com/film/saw-iii/" TargetMode="External" Id="rId1241"/><Relationship Type="http://schemas.openxmlformats.org/officeDocument/2006/relationships/hyperlink" Target="https://www.imdb.com/title/tt0477347/" TargetMode="External" Id="rId1242"/><Relationship Type="http://schemas.openxmlformats.org/officeDocument/2006/relationships/hyperlink" Target="https://www.filmaffinity.com/es/film945310.html" TargetMode="External" Id="rId1243"/><Relationship Type="http://schemas.openxmlformats.org/officeDocument/2006/relationships/hyperlink" Target="https://letterboxd.com/film/night-at-the-museum/" TargetMode="External" Id="rId1244"/><Relationship Type="http://schemas.openxmlformats.org/officeDocument/2006/relationships/hyperlink" Target="https://www.imdb.com/title/tt0344854/" TargetMode="External" Id="rId1245"/><Relationship Type="http://schemas.openxmlformats.org/officeDocument/2006/relationships/hyperlink" Target="https://www.filmaffinity.com/es/film165182.html" TargetMode="External" Id="rId1246"/><Relationship Type="http://schemas.openxmlformats.org/officeDocument/2006/relationships/hyperlink" Target="https://letterboxd.com/film/arthur-and-the-invisibles/" TargetMode="External" Id="rId1247"/><Relationship Type="http://schemas.openxmlformats.org/officeDocument/2006/relationships/hyperlink" Target="https://www.imdb.com/title/tt0362120/" TargetMode="External" Id="rId1248"/><Relationship Type="http://schemas.openxmlformats.org/officeDocument/2006/relationships/hyperlink" Target="https://www.filmaffinity.com/es/film788265.html" TargetMode="External" Id="rId1249"/><Relationship Type="http://schemas.openxmlformats.org/officeDocument/2006/relationships/hyperlink" Target="https://letterboxd.com/film/scary-movie-4/" TargetMode="External" Id="rId1250"/><Relationship Type="http://schemas.openxmlformats.org/officeDocument/2006/relationships/hyperlink" Target="https://www.imdb.com/title/tt0430304/" TargetMode="External" Id="rId1251"/><Relationship Type="http://schemas.openxmlformats.org/officeDocument/2006/relationships/hyperlink" Target="https://www.filmaffinity.com/es/film403896.html" TargetMode="External" Id="rId1252"/><Relationship Type="http://schemas.openxmlformats.org/officeDocument/2006/relationships/hyperlink" Target="https://letterboxd.com/film/little-man/" TargetMode="External" Id="rId1253"/><Relationship Type="http://schemas.openxmlformats.org/officeDocument/2006/relationships/hyperlink" Target="https://www.imdb.com/title/tt0417148/" TargetMode="External" Id="rId1254"/><Relationship Type="http://schemas.openxmlformats.org/officeDocument/2006/relationships/hyperlink" Target="https://www.filmaffinity.com/es/film606937.html" TargetMode="External" Id="rId1255"/><Relationship Type="http://schemas.openxmlformats.org/officeDocument/2006/relationships/hyperlink" Target="https://letterboxd.com/film/snakes-on-a-plane/" TargetMode="External" Id="rId1256"/><Relationship Type="http://schemas.openxmlformats.org/officeDocument/2006/relationships/hyperlink" Target="https://www.imdb.com/title/tt0461894/" TargetMode="External" Id="rId1257"/><Relationship Type="http://schemas.openxmlformats.org/officeDocument/2006/relationships/hyperlink" Target="https://www.filmaffinity.com/es/film721934.html" TargetMode="External" Id="rId1258"/><Relationship Type="http://schemas.openxmlformats.org/officeDocument/2006/relationships/hyperlink" Target="https://letterboxd.com/film/7-virgins/" TargetMode="External" Id="rId1259"/><Relationship Type="http://schemas.openxmlformats.org/officeDocument/2006/relationships/hyperlink" Target="https://www.imdb.com/title/tt0121766/" TargetMode="External" Id="rId1260"/><Relationship Type="http://schemas.openxmlformats.org/officeDocument/2006/relationships/hyperlink" Target="https://www.filmaffinity.com/es/film504743.html" TargetMode="External" Id="rId1261"/><Relationship Type="http://schemas.openxmlformats.org/officeDocument/2006/relationships/hyperlink" Target="https://letterboxd.com/film/star-wars-episode-iii-revenge-of-the-sith/" TargetMode="External" Id="rId1262"/><Relationship Type="http://schemas.openxmlformats.org/officeDocument/2006/relationships/hyperlink" Target="https://www.imdb.com/title/tt0434409/" TargetMode="External" Id="rId1263"/><Relationship Type="http://schemas.openxmlformats.org/officeDocument/2006/relationships/hyperlink" Target="https://www.filmaffinity.com/es/film662169.html" TargetMode="External" Id="rId1264"/><Relationship Type="http://schemas.openxmlformats.org/officeDocument/2006/relationships/hyperlink" Target="https://letterboxd.com/film/v-for-vendetta/" TargetMode="External" Id="rId1265"/><Relationship Type="http://schemas.openxmlformats.org/officeDocument/2006/relationships/hyperlink" Target="https://www.imdb.com/title/tt0372784/" TargetMode="External" Id="rId1266"/><Relationship Type="http://schemas.openxmlformats.org/officeDocument/2006/relationships/hyperlink" Target="https://www.filmaffinity.com/es/film943383.html" TargetMode="External" Id="rId1267"/><Relationship Type="http://schemas.openxmlformats.org/officeDocument/2006/relationships/hyperlink" Target="https://letterboxd.com/film/batman-begins/" TargetMode="External" Id="rId1268"/><Relationship Type="http://schemas.openxmlformats.org/officeDocument/2006/relationships/hyperlink" Target="https://www.imdb.com/title/tt0427582/" TargetMode="External" Id="rId1269"/><Relationship Type="http://schemas.openxmlformats.org/officeDocument/2006/relationships/hyperlink" Target="https://www.filmaffinity.com/es/film362083.html" TargetMode="External" Id="rId1270"/><Relationship Type="http://schemas.openxmlformats.org/officeDocument/2006/relationships/hyperlink" Target="https://letterboxd.com/film/the-method/" TargetMode="External" Id="rId1271"/><Relationship Type="http://schemas.openxmlformats.org/officeDocument/2006/relationships/hyperlink" Target="https://www.imdb.com/title/tt0367594/" TargetMode="External" Id="rId1272"/><Relationship Type="http://schemas.openxmlformats.org/officeDocument/2006/relationships/hyperlink" Target="https://www.filmaffinity.com/es/film679957.html" TargetMode="External" Id="rId1273"/><Relationship Type="http://schemas.openxmlformats.org/officeDocument/2006/relationships/hyperlink" Target="https://letterboxd.com/film/charlie-and-the-chocolate-factory/" TargetMode="External" Id="rId1274"/><Relationship Type="http://schemas.openxmlformats.org/officeDocument/2006/relationships/hyperlink" Target="https://www.imdb.com/title/tt0351283/" TargetMode="External" Id="rId1275"/><Relationship Type="http://schemas.openxmlformats.org/officeDocument/2006/relationships/hyperlink" Target="https://www.filmaffinity.com/es/film436297.html" TargetMode="External" Id="rId1276"/><Relationship Type="http://schemas.openxmlformats.org/officeDocument/2006/relationships/hyperlink" Target="https://letterboxd.com/film/madagascar/" TargetMode="External" Id="rId1277"/><Relationship Type="http://schemas.openxmlformats.org/officeDocument/2006/relationships/hyperlink" Target="https://www.imdb.com/title/tt0121164/" TargetMode="External" Id="rId1278"/><Relationship Type="http://schemas.openxmlformats.org/officeDocument/2006/relationships/hyperlink" Target="https://www.filmaffinity.com/es/film523454.html" TargetMode="External" Id="rId1279"/><Relationship Type="http://schemas.openxmlformats.org/officeDocument/2006/relationships/hyperlink" Target="https://letterboxd.com/film/corpse-bride/" TargetMode="External" Id="rId1280"/><Relationship Type="http://schemas.openxmlformats.org/officeDocument/2006/relationships/hyperlink" Target="https://www.imdb.com/title/tt0363771/" TargetMode="External" Id="rId1281"/><Relationship Type="http://schemas.openxmlformats.org/officeDocument/2006/relationships/hyperlink" Target="https://www.filmaffinity.com/es/film366537.html" TargetMode="External" Id="rId1282"/><Relationship Type="http://schemas.openxmlformats.org/officeDocument/2006/relationships/hyperlink" Target="https://letterboxd.com/film/the-chronicles-of-narnia-the-lion-the-witch-and-the-wardrobe/" TargetMode="External" Id="rId1283"/><Relationship Type="http://schemas.openxmlformats.org/officeDocument/2006/relationships/hyperlink" Target="https://www.imdb.com/title/tt0875609/" TargetMode="External" Id="rId1284"/><Relationship Type="http://schemas.openxmlformats.org/officeDocument/2006/relationships/hyperlink" Target="https://www.filmaffinity.com/es/film683873.html" TargetMode="External" Id="rId1285"/><Relationship Type="http://schemas.openxmlformats.org/officeDocument/2006/relationships/hyperlink" Target="https://letterboxd.com/film/pokemon-lucario-and-the-mystery-of-mew/" TargetMode="External" Id="rId1286"/><Relationship Type="http://schemas.openxmlformats.org/officeDocument/2006/relationships/hyperlink" Target="https://www.imdb.com/title/tt0432348/" TargetMode="External" Id="rId1287"/><Relationship Type="http://schemas.openxmlformats.org/officeDocument/2006/relationships/hyperlink" Target="https://www.filmaffinity.com/es/film697332.html" TargetMode="External" Id="rId1288"/><Relationship Type="http://schemas.openxmlformats.org/officeDocument/2006/relationships/hyperlink" Target="https://letterboxd.com/film/saw-ii/" TargetMode="External" Id="rId1289"/><Relationship Type="http://schemas.openxmlformats.org/officeDocument/2006/relationships/hyperlink" Target="https://www.imdb.com/title/tt0120667/" TargetMode="External" Id="rId1290"/><Relationship Type="http://schemas.openxmlformats.org/officeDocument/2006/relationships/hyperlink" Target="https://www.filmaffinity.com/es/film355080.html" TargetMode="External" Id="rId1291"/><Relationship Type="http://schemas.openxmlformats.org/officeDocument/2006/relationships/hyperlink" Target="https://letterboxd.com/film/fantastic-four-2005/" TargetMode="External" Id="rId1292"/><Relationship Type="http://schemas.openxmlformats.org/officeDocument/2006/relationships/hyperlink" Target="https://www.imdb.com/title/tt0444505/" TargetMode="External" Id="rId1293"/><Relationship Type="http://schemas.openxmlformats.org/officeDocument/2006/relationships/hyperlink" Target="https://www.filmaffinity.com/es/film107203.html" TargetMode="External" Id="rId1294"/><Relationship Type="http://schemas.openxmlformats.org/officeDocument/2006/relationships/hyperlink" Target="https://letterboxd.com/film/torrente-3-the-protector/" TargetMode="External" Id="rId1295"/><Relationship Type="http://schemas.openxmlformats.org/officeDocument/2006/relationships/hyperlink" Target="https://www.imdb.com/title/tt0347149/" TargetMode="External" Id="rId1296"/><Relationship Type="http://schemas.openxmlformats.org/officeDocument/2006/relationships/hyperlink" Target="https://www.filmaffinity.com/es/film191978.html" TargetMode="External" Id="rId1297"/><Relationship Type="http://schemas.openxmlformats.org/officeDocument/2006/relationships/hyperlink" Target="https://letterboxd.com/film/howls-moving-castle/" TargetMode="External" Id="rId1298"/><Relationship Type="http://schemas.openxmlformats.org/officeDocument/2006/relationships/hyperlink" Target="https://www.imdb.com/title/tt0405159/" TargetMode="External" Id="rId1299"/><Relationship Type="http://schemas.openxmlformats.org/officeDocument/2006/relationships/hyperlink" Target="https://www.filmaffinity.com/es/film314359.html" TargetMode="External" Id="rId1300"/><Relationship Type="http://schemas.openxmlformats.org/officeDocument/2006/relationships/hyperlink" Target="https://letterboxd.com/film/million-dollar-baby/" TargetMode="External" Id="rId1301"/><Relationship Type="http://schemas.openxmlformats.org/officeDocument/2006/relationships/hyperlink" Target="https://www.imdb.com/title/tt0387564/" TargetMode="External" Id="rId1302"/><Relationship Type="http://schemas.openxmlformats.org/officeDocument/2006/relationships/hyperlink" Target="https://www.filmaffinity.com/es/film988480.html" TargetMode="External" Id="rId1303"/><Relationship Type="http://schemas.openxmlformats.org/officeDocument/2006/relationships/hyperlink" Target="https://letterboxd.com/film/saw/" TargetMode="External" Id="rId1304"/><Relationship Type="http://schemas.openxmlformats.org/officeDocument/2006/relationships/hyperlink" Target="https://www.imdb.com/title/tt0343818/" TargetMode="External" Id="rId1305"/><Relationship Type="http://schemas.openxmlformats.org/officeDocument/2006/relationships/hyperlink" Target="https://www.filmaffinity.com/es/film339602.html" TargetMode="External" Id="rId1306"/><Relationship Type="http://schemas.openxmlformats.org/officeDocument/2006/relationships/hyperlink" Target="https://letterboxd.com/film/i-robot/" TargetMode="External" Id="rId1307"/><Relationship Type="http://schemas.openxmlformats.org/officeDocument/2006/relationships/hyperlink" Target="https://www.imdb.com/title/tt0317705/" TargetMode="External" Id="rId1308"/><Relationship Type="http://schemas.openxmlformats.org/officeDocument/2006/relationships/hyperlink" Target="https://www.filmaffinity.com/es/film288179.html" TargetMode="External" Id="rId1309"/><Relationship Type="http://schemas.openxmlformats.org/officeDocument/2006/relationships/hyperlink" Target="https://letterboxd.com/film/the-incredibles/" TargetMode="External" Id="rId1310"/><Relationship Type="http://schemas.openxmlformats.org/officeDocument/2006/relationships/hyperlink" Target="https://www.imdb.com/title/tt0316654/" TargetMode="External" Id="rId1311"/><Relationship Type="http://schemas.openxmlformats.org/officeDocument/2006/relationships/hyperlink" Target="https://www.filmaffinity.com/es/film894731.html" TargetMode="External" Id="rId1312"/><Relationship Type="http://schemas.openxmlformats.org/officeDocument/2006/relationships/hyperlink" Target="https://letterboxd.com/film/spider-man-2/" TargetMode="External" Id="rId1313"/><Relationship Type="http://schemas.openxmlformats.org/officeDocument/2006/relationships/hyperlink" Target="https://www.imdb.com/title/tt0365748/" TargetMode="External" Id="rId1314"/><Relationship Type="http://schemas.openxmlformats.org/officeDocument/2006/relationships/hyperlink" Target="https://www.filmaffinity.com/es/film860586.html" TargetMode="External" Id="rId1315"/><Relationship Type="http://schemas.openxmlformats.org/officeDocument/2006/relationships/hyperlink" Target="https://letterboxd.com/film/shaun-of-the-dead/" TargetMode="External" Id="rId1316"/><Relationship Type="http://schemas.openxmlformats.org/officeDocument/2006/relationships/hyperlink" Target="https://www.imdb.com/title/tt0769760/" TargetMode="External" Id="rId1317"/><Relationship Type="http://schemas.openxmlformats.org/officeDocument/2006/relationships/hyperlink" Target="https://www.filmaffinity.com/es/film303346.html" TargetMode="External" Id="rId1318"/><Relationship Type="http://schemas.openxmlformats.org/officeDocument/2006/relationships/hyperlink" Target="https://letterboxd.com/film/crayon-shin-chan-invoke-a-storm-the-kasukabe-boys-of-the-evening-sun/" TargetMode="External" Id="rId1319"/><Relationship Type="http://schemas.openxmlformats.org/officeDocument/2006/relationships/hyperlink" Target="https://www.imdb.com/title/tt0364569/" TargetMode="External" Id="rId1320"/><Relationship Type="http://schemas.openxmlformats.org/officeDocument/2006/relationships/hyperlink" Target="https://www.filmaffinity.com/es/film262430.html" TargetMode="External" Id="rId1321"/><Relationship Type="http://schemas.openxmlformats.org/officeDocument/2006/relationships/hyperlink" Target="https://letterboxd.com/film/oldboy/" TargetMode="External" Id="rId1322"/><Relationship Type="http://schemas.openxmlformats.org/officeDocument/2006/relationships/hyperlink" Target="https://www.imdb.com/title/tt0167260/" TargetMode="External" Id="rId1323"/><Relationship Type="http://schemas.openxmlformats.org/officeDocument/2006/relationships/hyperlink" Target="https://www.filmaffinity.com/es/film226427.html" TargetMode="External" Id="rId1324"/><Relationship Type="http://schemas.openxmlformats.org/officeDocument/2006/relationships/hyperlink" Target="https://letterboxd.com/film/the-lord-of-the-rings-the-return-of-the-king/" TargetMode="External" Id="rId1325"/><Relationship Type="http://schemas.openxmlformats.org/officeDocument/2006/relationships/hyperlink" Target="https://www.imdb.com/title/tt0327056/" TargetMode="External" Id="rId1326"/><Relationship Type="http://schemas.openxmlformats.org/officeDocument/2006/relationships/hyperlink" Target="https://www.filmaffinity.com/es/film121917.html" TargetMode="External" Id="rId1327"/><Relationship Type="http://schemas.openxmlformats.org/officeDocument/2006/relationships/hyperlink" Target="https://letterboxd.com/film/mystic-river/" TargetMode="External" Id="rId1328"/><Relationship Type="http://schemas.openxmlformats.org/officeDocument/2006/relationships/hyperlink" Target="https://www.imdb.com/title/tt0314331/" TargetMode="External" Id="rId1329"/><Relationship Type="http://schemas.openxmlformats.org/officeDocument/2006/relationships/hyperlink" Target="https://www.filmaffinity.com/es/film153436.html" TargetMode="External" Id="rId1330"/><Relationship Type="http://schemas.openxmlformats.org/officeDocument/2006/relationships/hyperlink" Target="https://letterboxd.com/film/love-actually/" TargetMode="External" Id="rId1331"/><Relationship Type="http://schemas.openxmlformats.org/officeDocument/2006/relationships/hyperlink" Target="https://www.imdb.com/title/tt0266543/" TargetMode="External" Id="rId1332"/><Relationship Type="http://schemas.openxmlformats.org/officeDocument/2006/relationships/hyperlink" Target="https://www.filmaffinity.com/es/film479365.html" TargetMode="External" Id="rId1333"/><Relationship Type="http://schemas.openxmlformats.org/officeDocument/2006/relationships/hyperlink" Target="https://letterboxd.com/film/finding-nemo/" TargetMode="External" Id="rId1334"/><Relationship Type="http://schemas.openxmlformats.org/officeDocument/2006/relationships/hyperlink" Target="https://www.imdb.com/title/tt0301357/" TargetMode="External" Id="rId1335"/><Relationship Type="http://schemas.openxmlformats.org/officeDocument/2006/relationships/hyperlink" Target="https://www.filmaffinity.com/es/film213013.html" TargetMode="External" Id="rId1336"/><Relationship Type="http://schemas.openxmlformats.org/officeDocument/2006/relationships/hyperlink" Target="https://letterboxd.com/film/good-bye-lenin/" TargetMode="External" Id="rId1337"/><Relationship Type="http://schemas.openxmlformats.org/officeDocument/2006/relationships/hyperlink" Target="https://www.imdb.com/title/tt0266697/" TargetMode="External" Id="rId1338"/><Relationship Type="http://schemas.openxmlformats.org/officeDocument/2006/relationships/hyperlink" Target="https://www.filmaffinity.com/es/film524439.html" TargetMode="External" Id="rId1339"/><Relationship Type="http://schemas.openxmlformats.org/officeDocument/2006/relationships/hyperlink" Target="https://letterboxd.com/film/kill-bill-vol-1/" TargetMode="External" Id="rId1340"/><Relationship Type="http://schemas.openxmlformats.org/officeDocument/2006/relationships/hyperlink" Target="https://www.imdb.com/title/tt0314121/" TargetMode="External" Id="rId1341"/><Relationship Type="http://schemas.openxmlformats.org/officeDocument/2006/relationships/hyperlink" Target="https://www.filmaffinity.com/es/film719992.html" TargetMode="External" Id="rId1342"/><Relationship Type="http://schemas.openxmlformats.org/officeDocument/2006/relationships/hyperlink" Target="https://letterboxd.com/film/mortadelo-filemon-the-big-adventure/" TargetMode="External" Id="rId1343"/><Relationship Type="http://schemas.openxmlformats.org/officeDocument/2006/relationships/hyperlink" Target="https://www.imdb.com/title/tt0322259/" TargetMode="External" Id="rId1344"/><Relationship Type="http://schemas.openxmlformats.org/officeDocument/2006/relationships/hyperlink" Target="https://www.filmaffinity.com/es/film903353.html" TargetMode="External" Id="rId1345"/><Relationship Type="http://schemas.openxmlformats.org/officeDocument/2006/relationships/hyperlink" Target="https://letterboxd.com/film/2-fast-2-furious/" TargetMode="External" Id="rId1346"/><Relationship Type="http://schemas.openxmlformats.org/officeDocument/2006/relationships/hyperlink" Target="https://www.imdb.com/title/tt0332379/" TargetMode="External" Id="rId1347"/><Relationship Type="http://schemas.openxmlformats.org/officeDocument/2006/relationships/hyperlink" Target="https://www.filmaffinity.com/es/film963315.html" TargetMode="External" Id="rId1348"/><Relationship Type="http://schemas.openxmlformats.org/officeDocument/2006/relationships/hyperlink" Target="https://letterboxd.com/film/school-of-rock/" TargetMode="External" Id="rId1349"/><Relationship Type="http://schemas.openxmlformats.org/officeDocument/2006/relationships/hyperlink" Target="https://www.imdb.com/title/tt0306047/" TargetMode="External" Id="rId1350"/><Relationship Type="http://schemas.openxmlformats.org/officeDocument/2006/relationships/hyperlink" Target="https://www.filmaffinity.com/es/film368390.html" TargetMode="External" Id="rId1351"/><Relationship Type="http://schemas.openxmlformats.org/officeDocument/2006/relationships/hyperlink" Target="https://letterboxd.com/film/scary-movie-3/" TargetMode="External" Id="rId1352"/><Relationship Type="http://schemas.openxmlformats.org/officeDocument/2006/relationships/hyperlink" Target="https://www.imdb.com/title/tt0315327/" TargetMode="External" Id="rId1353"/><Relationship Type="http://schemas.openxmlformats.org/officeDocument/2006/relationships/hyperlink" Target="https://www.filmaffinity.com/es/film555335.html" TargetMode="External" Id="rId1354"/><Relationship Type="http://schemas.openxmlformats.org/officeDocument/2006/relationships/hyperlink" Target="https://letterboxd.com/film/bruce-almighty/" TargetMode="External" Id="rId1355"/><Relationship Type="http://schemas.openxmlformats.org/officeDocument/2006/relationships/hyperlink" Target="https://www.imdb.com/title/tt0253474/" TargetMode="External" Id="rId1356"/><Relationship Type="http://schemas.openxmlformats.org/officeDocument/2006/relationships/hyperlink" Target="https://www.filmaffinity.com/es/film112475.html" TargetMode="External" Id="rId1357"/><Relationship Type="http://schemas.openxmlformats.org/officeDocument/2006/relationships/hyperlink" Target="https://letterboxd.com/film/the-pianist/" TargetMode="External" Id="rId1358"/><Relationship Type="http://schemas.openxmlformats.org/officeDocument/2006/relationships/hyperlink" Target="https://www.imdb.com/title/tt0167261/" TargetMode="External" Id="rId1359"/><Relationship Type="http://schemas.openxmlformats.org/officeDocument/2006/relationships/hyperlink" Target="https://www.filmaffinity.com/es/film944222.html" TargetMode="External" Id="rId1360"/><Relationship Type="http://schemas.openxmlformats.org/officeDocument/2006/relationships/hyperlink" Target="https://letterboxd.com/film/the-lord-of-the-rings-the-two-towers/" TargetMode="External" Id="rId1361"/><Relationship Type="http://schemas.openxmlformats.org/officeDocument/2006/relationships/hyperlink" Target="https://www.imdb.com/title/tt0268380/" TargetMode="External" Id="rId1362"/><Relationship Type="http://schemas.openxmlformats.org/officeDocument/2006/relationships/hyperlink" Target="https://www.filmaffinity.com/es/film221296.html" TargetMode="External" Id="rId1363"/><Relationship Type="http://schemas.openxmlformats.org/officeDocument/2006/relationships/hyperlink" Target="https://letterboxd.com/film/ice-age/" TargetMode="External" Id="rId1364"/><Relationship Type="http://schemas.openxmlformats.org/officeDocument/2006/relationships/hyperlink" Target="https://www.imdb.com/title/tt0316655/" TargetMode="External" Id="rId1365"/><Relationship Type="http://schemas.openxmlformats.org/officeDocument/2006/relationships/hyperlink" Target="https://www.imdb.com/title/tt2180443/" TargetMode="External" Id="rId1366"/><Relationship Type="http://schemas.openxmlformats.org/officeDocument/2006/relationships/hyperlink" Target="https://www.filmaffinity.com/es/film284077.html" TargetMode="External" Id="rId1367"/><Relationship Type="http://schemas.openxmlformats.org/officeDocument/2006/relationships/hyperlink" Target="https://letterboxd.com/film/crayon-shin-chan-a-storm-invoking-splendor-the-battle-of-the-warring-states/" TargetMode="External" Id="rId1368"/><Relationship Type="http://schemas.openxmlformats.org/officeDocument/2006/relationships/hyperlink" Target="https://www.imdb.com/title/tt0120912/" TargetMode="External" Id="rId1369"/><Relationship Type="http://schemas.openxmlformats.org/officeDocument/2006/relationships/hyperlink" Target="https://www.filmaffinity.com/es/film717057.html" TargetMode="External" Id="rId1370"/><Relationship Type="http://schemas.openxmlformats.org/officeDocument/2006/relationships/hyperlink" Target="https://letterboxd.com/film/men-in-black-ii/" TargetMode="External" Id="rId1371"/><Relationship Type="http://schemas.openxmlformats.org/officeDocument/2006/relationships/hyperlink" Target="https://www.imdb.com/title/tt0121765/" TargetMode="External" Id="rId1372"/><Relationship Type="http://schemas.openxmlformats.org/officeDocument/2006/relationships/hyperlink" Target="https://www.filmaffinity.com/es/film385996.html" TargetMode="External" Id="rId1373"/><Relationship Type="http://schemas.openxmlformats.org/officeDocument/2006/relationships/hyperlink" Target="https://letterboxd.com/film/star-wars-episode-ii-attack-of-the-clones/" TargetMode="External" Id="rId1374"/><Relationship Type="http://schemas.openxmlformats.org/officeDocument/2006/relationships/hyperlink" Target="https://www.imdb.com/title/tt0245429/" TargetMode="External" Id="rId1375"/><Relationship Type="http://schemas.openxmlformats.org/officeDocument/2006/relationships/hyperlink" Target="https://www.filmaffinity.com/es/film759533.html" TargetMode="External" Id="rId1376"/><Relationship Type="http://schemas.openxmlformats.org/officeDocument/2006/relationships/hyperlink" Target="https://letterboxd.com/film/spirited-away/" TargetMode="External" Id="rId1377"/><Relationship Type="http://schemas.openxmlformats.org/officeDocument/2006/relationships/hyperlink" Target="https://www.imdb.com/title/tt0120737/" TargetMode="External" Id="rId1378"/><Relationship Type="http://schemas.openxmlformats.org/officeDocument/2006/relationships/hyperlink" Target="https://www.filmaffinity.com/es/film750283.html" TargetMode="External" Id="rId1379"/><Relationship Type="http://schemas.openxmlformats.org/officeDocument/2006/relationships/hyperlink" Target="https://letterboxd.com/film/the-lord-of-the-rings-the-fellowship-of-the-ring/" TargetMode="External" Id="rId1380"/><Relationship Type="http://schemas.openxmlformats.org/officeDocument/2006/relationships/hyperlink" Target="https://www.imdb.com/title/tt0126029/" TargetMode="External" Id="rId1381"/><Relationship Type="http://schemas.openxmlformats.org/officeDocument/2006/relationships/hyperlink" Target="https://www.filmaffinity.com/es/film494558.html" TargetMode="External" Id="rId1382"/><Relationship Type="http://schemas.openxmlformats.org/officeDocument/2006/relationships/hyperlink" Target="https://letterboxd.com/film/shrek/" TargetMode="External" Id="rId1383"/><Relationship Type="http://schemas.openxmlformats.org/officeDocument/2006/relationships/hyperlink" Target="https://www.imdb.com/title/tt0230600/" TargetMode="External" Id="rId1384"/><Relationship Type="http://schemas.openxmlformats.org/officeDocument/2006/relationships/hyperlink" Target="https://www.filmaffinity.com/es/film370368.html" TargetMode="External" Id="rId1385"/><Relationship Type="http://schemas.openxmlformats.org/officeDocument/2006/relationships/hyperlink" Target="https://letterboxd.com/film/the-others/" TargetMode="External" Id="rId1386"/><Relationship Type="http://schemas.openxmlformats.org/officeDocument/2006/relationships/hyperlink" Target="https://www.imdb.com/title/tt0831848/" TargetMode="External" Id="rId1387"/><Relationship Type="http://schemas.openxmlformats.org/officeDocument/2006/relationships/hyperlink" Target="https://www.filmaffinity.com/es/film208297.html" TargetMode="External" Id="rId1388"/><Relationship Type="http://schemas.openxmlformats.org/officeDocument/2006/relationships/hyperlink" Target="https://letterboxd.com/film/crayon-shin-chan-storm-invoking-passion-the-adult-empire-strikes-back/" TargetMode="External" Id="rId1389"/><Relationship Type="http://schemas.openxmlformats.org/officeDocument/2006/relationships/hyperlink" Target="https://www.imdb.com/title/tt0198781/" TargetMode="External" Id="rId1390"/><Relationship Type="http://schemas.openxmlformats.org/officeDocument/2006/relationships/hyperlink" Target="https://www.filmaffinity.com/es/film265575.html" TargetMode="External" Id="rId1391"/><Relationship Type="http://schemas.openxmlformats.org/officeDocument/2006/relationships/hyperlink" Target="https://letterboxd.com/film/monsters-inc/" TargetMode="External" Id="rId1392"/><Relationship Type="http://schemas.openxmlformats.org/officeDocument/2006/relationships/hyperlink" Target="https://www.imdb.com/title/tt0232500/" TargetMode="External" Id="rId1393"/><Relationship Type="http://schemas.openxmlformats.org/officeDocument/2006/relationships/hyperlink" Target="https://www.filmaffinity.com/es/film484467.html" TargetMode="External" Id="rId1394"/><Relationship Type="http://schemas.openxmlformats.org/officeDocument/2006/relationships/hyperlink" Target="https://letterboxd.com/film/the-fast-and-the-furious-2001/" TargetMode="External" Id="rId1395"/><Relationship Type="http://schemas.openxmlformats.org/officeDocument/2006/relationships/hyperlink" Target="https://www.imdb.com/title/tt0252866/" TargetMode="External" Id="rId1396"/><Relationship Type="http://schemas.openxmlformats.org/officeDocument/2006/relationships/hyperlink" Target="https://www.filmaffinity.com/es/film625180.html" TargetMode="External" Id="rId1397"/><Relationship Type="http://schemas.openxmlformats.org/officeDocument/2006/relationships/hyperlink" Target="https://letterboxd.com/film/american-pie-2/" TargetMode="External" Id="rId1398"/><Relationship Type="http://schemas.openxmlformats.org/officeDocument/2006/relationships/hyperlink" Target="https://www.imdb.com/title/tt0257106/" TargetMode="External" Id="rId1399"/><Relationship Type="http://schemas.openxmlformats.org/officeDocument/2006/relationships/hyperlink" Target="https://www.filmaffinity.com/es/film664824.html" TargetMode="External" Id="rId1400"/><Relationship Type="http://schemas.openxmlformats.org/officeDocument/2006/relationships/hyperlink" Target="https://letterboxd.com/film/scary-movie-2/" TargetMode="External" Id="rId1401"/><Relationship Type="http://schemas.openxmlformats.org/officeDocument/2006/relationships/hyperlink" Target="https://www.imdb.com/title/tt0257231/" TargetMode="External" Id="rId1402"/><Relationship Type="http://schemas.openxmlformats.org/officeDocument/2006/relationships/hyperlink" Target="https://www.filmaffinity.com/es/film846518.html" TargetMode="External" Id="rId1403"/><Relationship Type="http://schemas.openxmlformats.org/officeDocument/2006/relationships/hyperlink" Target="https://letterboxd.com/film/torrente-2-mission-in-marbella/" TargetMode="External" Id="rId1404"/><Relationship Type="http://schemas.openxmlformats.org/officeDocument/2006/relationships/hyperlink" Target="https://www.imdb.com/title/tt0209144/" TargetMode="External" Id="rId1405"/><Relationship Type="http://schemas.openxmlformats.org/officeDocument/2006/relationships/hyperlink" Target="https://www.filmaffinity.com/es/film931317.html" TargetMode="External" Id="rId1406"/><Relationship Type="http://schemas.openxmlformats.org/officeDocument/2006/relationships/hyperlink" Target="https://letterboxd.com/film/memento/" TargetMode="External" Id="rId1407"/><Relationship Type="http://schemas.openxmlformats.org/officeDocument/2006/relationships/hyperlink" Target="https://www.imdb.com/title/tt0180093/" TargetMode="External" Id="rId1408"/><Relationship Type="http://schemas.openxmlformats.org/officeDocument/2006/relationships/hyperlink" Target="https://www.filmaffinity.com/es/film747961.html" TargetMode="External" Id="rId1409"/><Relationship Type="http://schemas.openxmlformats.org/officeDocument/2006/relationships/hyperlink" Target="https://letterboxd.com/film/requiem-for-a-dream/" TargetMode="External" Id="rId1410"/><Relationship Type="http://schemas.openxmlformats.org/officeDocument/2006/relationships/hyperlink" Target="https://www.imdb.com/title/tt1068773/" TargetMode="External" Id="rId1411"/><Relationship Type="http://schemas.openxmlformats.org/officeDocument/2006/relationships/hyperlink" Target="https://www.filmaffinity.com/es/film907945.html" TargetMode="External" Id="rId1412"/><Relationship Type="http://schemas.openxmlformats.org/officeDocument/2006/relationships/hyperlink" Target="https://letterboxd.com/film/detective-conan-captured-in-her-eyes/" TargetMode="External" Id="rId1413"/><Relationship Type="http://schemas.openxmlformats.org/officeDocument/2006/relationships/hyperlink" Target="https://www.imdb.com/title/tt0144084/" TargetMode="External" Id="rId1414"/><Relationship Type="http://schemas.openxmlformats.org/officeDocument/2006/relationships/hyperlink" Target="https://www.filmaffinity.com/es/film449226.html" TargetMode="External" Id="rId1415"/><Relationship Type="http://schemas.openxmlformats.org/officeDocument/2006/relationships/hyperlink" Target="https://letterboxd.com/film/american-psycho/" TargetMode="External" Id="rId1416"/><Relationship Type="http://schemas.openxmlformats.org/officeDocument/2006/relationships/hyperlink" Target="https://www.imdb.com/title/tt0175142/" TargetMode="External" Id="rId1417"/><Relationship Type="http://schemas.openxmlformats.org/officeDocument/2006/relationships/hyperlink" Target="https://www.filmaffinity.com/es/film232939.html" TargetMode="External" Id="rId1418"/><Relationship Type="http://schemas.openxmlformats.org/officeDocument/2006/relationships/hyperlink" Target="https://letterboxd.com/film/scary-movie-2000/" TargetMode="External" Id="rId1419"/><Relationship Type="http://schemas.openxmlformats.org/officeDocument/2006/relationships/hyperlink" Target="https://www.imdb.com/title/tt2180441/" TargetMode="External" Id="rId1420"/><Relationship Type="http://schemas.openxmlformats.org/officeDocument/2006/relationships/hyperlink" Target="https://www.filmaffinity.com/es/film789029.html" TargetMode="External" Id="rId1421"/><Relationship Type="http://schemas.openxmlformats.org/officeDocument/2006/relationships/hyperlink" Target="https://letterboxd.com/film/crayon-shin-chan-a-storm-invoking-jungle/" TargetMode="External" Id="rId1422"/><Relationship Type="http://schemas.openxmlformats.org/officeDocument/2006/relationships/hyperlink" Target="https://www.imdb.com/title/tt0235679/" TargetMode="External" Id="rId1423"/><Relationship Type="http://schemas.openxmlformats.org/officeDocument/2006/relationships/hyperlink" Target="https://www.filmaffinity.com/es/film233992.html" TargetMode="External" Id="rId1424"/><Relationship Type="http://schemas.openxmlformats.org/officeDocument/2006/relationships/hyperlink" Target="https://letterboxd.com/film/pokemon-3-the-movie/" TargetMode="External" Id="rId1425"/><Relationship Type="http://schemas.openxmlformats.org/officeDocument/2006/relationships/hyperlink" Target="https://www.imdb.com/title/tt0183505/" TargetMode="External" Id="rId1426"/><Relationship Type="http://schemas.openxmlformats.org/officeDocument/2006/relationships/hyperlink" Target="https://www.filmaffinity.com/es/film887605.html" TargetMode="External" Id="rId1427"/><Relationship Type="http://schemas.openxmlformats.org/officeDocument/2006/relationships/hyperlink" Target="https://letterboxd.com/film/me-myself-irene/" TargetMode="External" Id="rId1428"/><Relationship Type="http://schemas.openxmlformats.org/officeDocument/2006/relationships/hyperlink" Target="https://www.imdb.com/title/tt0169547/" TargetMode="External" Id="rId1429"/><Relationship Type="http://schemas.openxmlformats.org/officeDocument/2006/relationships/hyperlink" Target="https://www.filmaffinity.com/es/film505307.html" TargetMode="External" Id="rId1430"/><Relationship Type="http://schemas.openxmlformats.org/officeDocument/2006/relationships/hyperlink" Target="https://letterboxd.com/film/american-beauty/" TargetMode="External" Id="rId1431"/><Relationship Type="http://schemas.openxmlformats.org/officeDocument/2006/relationships/hyperlink" Target="https://www.imdb.com/title/tt0133093/" TargetMode="External" Id="rId1432"/><Relationship Type="http://schemas.openxmlformats.org/officeDocument/2006/relationships/hyperlink" Target="https://www.filmaffinity.com/es/film932476.html" TargetMode="External" Id="rId1433"/><Relationship Type="http://schemas.openxmlformats.org/officeDocument/2006/relationships/hyperlink" Target="https://letterboxd.com/film/the-matrix/" TargetMode="External" Id="rId1434"/><Relationship Type="http://schemas.openxmlformats.org/officeDocument/2006/relationships/hyperlink" Target="https://www.imdb.com/title/tt0167404/" TargetMode="External" Id="rId1435"/><Relationship Type="http://schemas.openxmlformats.org/officeDocument/2006/relationships/hyperlink" Target="https://www.filmaffinity.com/es/film607127.html" TargetMode="External" Id="rId1436"/><Relationship Type="http://schemas.openxmlformats.org/officeDocument/2006/relationships/hyperlink" Target="https://letterboxd.com/film/the-sixth-sense/" TargetMode="External" Id="rId1437"/><Relationship Type="http://schemas.openxmlformats.org/officeDocument/2006/relationships/hyperlink" Target="https://www.imdb.com/title/tt0185125/" TargetMode="External" Id="rId1438"/><Relationship Type="http://schemas.openxmlformats.org/officeDocument/2006/relationships/hyperlink" Target="https://www.filmaffinity.com/es/film374559.html" TargetMode="External" Id="rId1439"/><Relationship Type="http://schemas.openxmlformats.org/officeDocument/2006/relationships/hyperlink" Target="https://letterboxd.com/film/all-about-my-mother/" TargetMode="External" Id="rId1440"/><Relationship Type="http://schemas.openxmlformats.org/officeDocument/2006/relationships/hyperlink" Target="https://www.imdb.com/title/tt0137523/" TargetMode="External" Id="rId1441"/><Relationship Type="http://schemas.openxmlformats.org/officeDocument/2006/relationships/hyperlink" Target="https://www.filmaffinity.com/es/film536945.html" TargetMode="External" Id="rId1442"/><Relationship Type="http://schemas.openxmlformats.org/officeDocument/2006/relationships/hyperlink" Target="https://letterboxd.com/film/fight-club/" TargetMode="External" Id="rId1443"/><Relationship Type="http://schemas.openxmlformats.org/officeDocument/2006/relationships/hyperlink" Target="https://www.imdb.com/title/tt0188030/" TargetMode="External" Id="rId1444"/><Relationship Type="http://schemas.openxmlformats.org/officeDocument/2006/relationships/hyperlink" Target="https://www.filmaffinity.com/es/film545489.html" TargetMode="External" Id="rId1445"/><Relationship Type="http://schemas.openxmlformats.org/officeDocument/2006/relationships/hyperlink" Target="https://letterboxd.com/film/butterfly-1999/" TargetMode="External" Id="rId1446"/><Relationship Type="http://schemas.openxmlformats.org/officeDocument/2006/relationships/hyperlink" Target="https://www.imdb.com/title/tt0129167/" TargetMode="External" Id="rId1447"/><Relationship Type="http://schemas.openxmlformats.org/officeDocument/2006/relationships/hyperlink" Target="https://www.filmaffinity.com/es/film936434.html" TargetMode="External" Id="rId1448"/><Relationship Type="http://schemas.openxmlformats.org/officeDocument/2006/relationships/hyperlink" Target="https://letterboxd.com/film/the-iron-giant/" TargetMode="External" Id="rId1449"/><Relationship Type="http://schemas.openxmlformats.org/officeDocument/2006/relationships/hyperlink" Target="https://www.imdb.com/title/tt0120616/" TargetMode="External" Id="rId1450"/><Relationship Type="http://schemas.openxmlformats.org/officeDocument/2006/relationships/hyperlink" Target="https://www.filmaffinity.com/es/film461672.html" TargetMode="External" Id="rId1451"/><Relationship Type="http://schemas.openxmlformats.org/officeDocument/2006/relationships/hyperlink" Target="https://letterboxd.com/film/the-mummy-1999/" TargetMode="External" Id="rId1452"/><Relationship Type="http://schemas.openxmlformats.org/officeDocument/2006/relationships/hyperlink" Target="https://www.imdb.com/title/tt0120363/" TargetMode="External" Id="rId1453"/><Relationship Type="http://schemas.openxmlformats.org/officeDocument/2006/relationships/hyperlink" Target="https://www.filmaffinity.com/es/film724267.html" TargetMode="External" Id="rId1454"/><Relationship Type="http://schemas.openxmlformats.org/officeDocument/2006/relationships/hyperlink" Target="https://letterboxd.com/film/toy-story-2/" TargetMode="External" Id="rId1455"/><Relationship Type="http://schemas.openxmlformats.org/officeDocument/2006/relationships/hyperlink" Target="https://www.imdb.com/title/tt0162661/" TargetMode="External" Id="rId1456"/><Relationship Type="http://schemas.openxmlformats.org/officeDocument/2006/relationships/hyperlink" Target="https://www.filmaffinity.com/es/film575519.html" TargetMode="External" Id="rId1457"/><Relationship Type="http://schemas.openxmlformats.org/officeDocument/2006/relationships/hyperlink" Target="https://letterboxd.com/film/sleepy-hollow/" TargetMode="External" Id="rId1458"/><Relationship Type="http://schemas.openxmlformats.org/officeDocument/2006/relationships/hyperlink" Target="https://www.imdb.com/title/tt0125439/" TargetMode="External" Id="rId1459"/><Relationship Type="http://schemas.openxmlformats.org/officeDocument/2006/relationships/hyperlink" Target="https://www.filmaffinity.com/es/film551332.html" TargetMode="External" Id="rId1460"/><Relationship Type="http://schemas.openxmlformats.org/officeDocument/2006/relationships/hyperlink" Target="https://letterboxd.com/film/notting-hill/" TargetMode="External" Id="rId1461"/><Relationship Type="http://schemas.openxmlformats.org/officeDocument/2006/relationships/hyperlink" Target="https://www.imdb.com/title/tt1067920/" TargetMode="External" Id="rId1462"/><Relationship Type="http://schemas.openxmlformats.org/officeDocument/2006/relationships/hyperlink" Target="https://www.filmaffinity.com/es/film404132.html" TargetMode="External" Id="rId1463"/><Relationship Type="http://schemas.openxmlformats.org/officeDocument/2006/relationships/hyperlink" Target="https://letterboxd.com/film/detective-conan-the-last-wizard-of-the-century/" TargetMode="External" Id="rId1464"/><Relationship Type="http://schemas.openxmlformats.org/officeDocument/2006/relationships/hyperlink" Target="https://www.imdb.com/title/tt0120855/" TargetMode="External" Id="rId1465"/><Relationship Type="http://schemas.openxmlformats.org/officeDocument/2006/relationships/hyperlink" Target="https://www.filmaffinity.com/es/film103608.html" TargetMode="External" Id="rId1466"/><Relationship Type="http://schemas.openxmlformats.org/officeDocument/2006/relationships/hyperlink" Target="https://letterboxd.com/film/tarzan/" TargetMode="External" Id="rId1467"/><Relationship Type="http://schemas.openxmlformats.org/officeDocument/2006/relationships/hyperlink" Target="https://www.imdb.com/title/tt0120915/" TargetMode="External" Id="rId1468"/><Relationship Type="http://schemas.openxmlformats.org/officeDocument/2006/relationships/hyperlink" Target="https://www.filmaffinity.com/es/film267008.html" TargetMode="External" Id="rId1469"/><Relationship Type="http://schemas.openxmlformats.org/officeDocument/2006/relationships/hyperlink" Target="https://letterboxd.com/film/star-wars-episode-i-the-phantom-menace/" TargetMode="External" Id="rId1470"/><Relationship Type="http://schemas.openxmlformats.org/officeDocument/2006/relationships/hyperlink" Target="https://www.imdb.com/title/tt0163651/" TargetMode="External" Id="rId1471"/><Relationship Type="http://schemas.openxmlformats.org/officeDocument/2006/relationships/hyperlink" Target="https://www.filmaffinity.com/es/film345561.html" TargetMode="External" Id="rId1472"/><Relationship Type="http://schemas.openxmlformats.org/officeDocument/2006/relationships/hyperlink" Target="https://letterboxd.com/film/american-pie/" TargetMode="External" Id="rId1473"/><Relationship Type="http://schemas.openxmlformats.org/officeDocument/2006/relationships/hyperlink" Target="https://www.imdb.com/title/tt0210234/" TargetMode="External" Id="rId1474"/><Relationship Type="http://schemas.openxmlformats.org/officeDocument/2006/relationships/hyperlink" Target="https://www.filmaffinity.com/es/film438242.html" TargetMode="External" Id="rId1475"/><Relationship Type="http://schemas.openxmlformats.org/officeDocument/2006/relationships/hyperlink" Target="https://letterboxd.com/film/pokemon-the-movie-2000/" TargetMode="External" Id="rId1476"/><Relationship Type="http://schemas.openxmlformats.org/officeDocument/2006/relationships/hyperlink" Target="https://www.imdb.com/title/tt0185937/" TargetMode="External" Id="rId1477"/><Relationship Type="http://schemas.openxmlformats.org/officeDocument/2006/relationships/hyperlink" Target="https://www.filmaffinity.com/es/film545832.html" TargetMode="External" Id="rId1478"/><Relationship Type="http://schemas.openxmlformats.org/officeDocument/2006/relationships/hyperlink" Target="https://letterboxd.com/film/the-blair-witch-project/" TargetMode="External" Id="rId1479"/><Relationship Type="http://schemas.openxmlformats.org/officeDocument/2006/relationships/hyperlink" Target="https://www.imdb.com/title/tt0120586/" TargetMode="External" Id="rId1480"/><Relationship Type="http://schemas.openxmlformats.org/officeDocument/2006/relationships/hyperlink" Target="https://www.filmaffinity.com/es/film261972.html" TargetMode="External" Id="rId1481"/><Relationship Type="http://schemas.openxmlformats.org/officeDocument/2006/relationships/hyperlink" Target="https://letterboxd.com/film/american-history-x/" TargetMode="External" Id="rId1482"/><Relationship Type="http://schemas.openxmlformats.org/officeDocument/2006/relationships/hyperlink" Target="https://www.imdb.com/title/tt0965649/" TargetMode="External" Id="rId1483"/><Relationship Type="http://schemas.openxmlformats.org/officeDocument/2006/relationships/hyperlink" Target="https://www.filmaffinity.com/es/film221511.html" TargetMode="External" Id="rId1484"/><Relationship Type="http://schemas.openxmlformats.org/officeDocument/2006/relationships/hyperlink" Target="https://letterboxd.com/film/case-closed-the-fourteenth-target/" TargetMode="External" Id="rId1485"/><Relationship Type="http://schemas.openxmlformats.org/officeDocument/2006/relationships/hyperlink" Target="https://www.imdb.com/title/tt0120815/" TargetMode="External" Id="rId1486"/><Relationship Type="http://schemas.openxmlformats.org/officeDocument/2006/relationships/hyperlink" Target="https://www.filmaffinity.com/es/film824508.html" TargetMode="External" Id="rId1487"/><Relationship Type="http://schemas.openxmlformats.org/officeDocument/2006/relationships/hyperlink" Target="https://letterboxd.com/film/saving-private-ryan/" TargetMode="External" Id="rId1488"/><Relationship Type="http://schemas.openxmlformats.org/officeDocument/2006/relationships/hyperlink" Target="https://www.imdb.com/title/tt0120382/" TargetMode="External" Id="rId1489"/><Relationship Type="http://schemas.openxmlformats.org/officeDocument/2006/relationships/hyperlink" Target="https://www.filmaffinity.com/es/film504889.html" TargetMode="External" Id="rId1490"/><Relationship Type="http://schemas.openxmlformats.org/officeDocument/2006/relationships/hyperlink" Target="https://letterboxd.com/film/the-truman-show/" TargetMode="External" Id="rId1491"/><Relationship Type="http://schemas.openxmlformats.org/officeDocument/2006/relationships/hyperlink" Target="https://www.imdb.com/title/tt0120868/" TargetMode="External" Id="rId1492"/><Relationship Type="http://schemas.openxmlformats.org/officeDocument/2006/relationships/hyperlink" Target="https://www.filmaffinity.com/es/film334167.html" TargetMode="External" Id="rId1493"/><Relationship Type="http://schemas.openxmlformats.org/officeDocument/2006/relationships/hyperlink" Target="https://letterboxd.com/film/torrente-the-dumb-arm-of-the-law/" TargetMode="External" Id="rId1494"/><Relationship Type="http://schemas.openxmlformats.org/officeDocument/2006/relationships/hyperlink" Target="https://www.imdb.com/title/tt1147519/" TargetMode="External" Id="rId1495"/><Relationship Type="http://schemas.openxmlformats.org/officeDocument/2006/relationships/hyperlink" Target="https://www.filmaffinity.com/es/film225971.html" TargetMode="External" Id="rId1496"/><Relationship Type="http://schemas.openxmlformats.org/officeDocument/2006/relationships/hyperlink" Target="https://letterboxd.com/film/doraemon-nobitas-great-adventure-in-the-south-seas/" TargetMode="External" Id="rId1497"/><Relationship Type="http://schemas.openxmlformats.org/officeDocument/2006/relationships/hyperlink" Target="https://www.imdb.com/title/tt0190641/" TargetMode="External" Id="rId1498"/><Relationship Type="http://schemas.openxmlformats.org/officeDocument/2006/relationships/hyperlink" Target="https://www.filmaffinity.com/es/film227959.html" TargetMode="External" Id="rId1499"/><Relationship Type="http://schemas.openxmlformats.org/officeDocument/2006/relationships/hyperlink" Target="https://letterboxd.com/film/pokemon-the-first-movie-mewtwo-strikes-back/" TargetMode="External" Id="rId1500"/><Relationship Type="http://schemas.openxmlformats.org/officeDocument/2006/relationships/hyperlink" Target="https://www.imdb.com/title/tt0120746/" TargetMode="External" Id="rId1501"/><Relationship Type="http://schemas.openxmlformats.org/officeDocument/2006/relationships/hyperlink" Target="https://www.filmaffinity.com/es/film187158.html" TargetMode="External" Id="rId1502"/><Relationship Type="http://schemas.openxmlformats.org/officeDocument/2006/relationships/hyperlink" Target="https://letterboxd.com/film/the-mask-of-zorro/" TargetMode="External" Id="rId1503"/><Relationship Type="http://schemas.openxmlformats.org/officeDocument/2006/relationships/hyperlink" Target="https://www.imdb.com/title/tt2643808/" TargetMode="External" Id="rId1504"/><Relationship Type="http://schemas.openxmlformats.org/officeDocument/2006/relationships/hyperlink" Target="https://www.filmaffinity.com/es/film645327.html" TargetMode="External" Id="rId1505"/><Relationship Type="http://schemas.openxmlformats.org/officeDocument/2006/relationships/hyperlink" Target="https://letterboxd.com/film/crayon-shin-chan-dengeki-buta-no-hizume-daisakusen/" TargetMode="External" Id="rId1506"/><Relationship Type="http://schemas.openxmlformats.org/officeDocument/2006/relationships/hyperlink" Target="https://www.imdb.com/title/tt0120647/" TargetMode="External" Id="rId1507"/><Relationship Type="http://schemas.openxmlformats.org/officeDocument/2006/relationships/hyperlink" Target="https://www.filmaffinity.com/es/film203964.html" TargetMode="External" Id="rId1508"/><Relationship Type="http://schemas.openxmlformats.org/officeDocument/2006/relationships/hyperlink" Target="https://letterboxd.com/film/deep-impact/" TargetMode="External" Id="rId1509"/><Relationship Type="http://schemas.openxmlformats.org/officeDocument/2006/relationships/hyperlink" Target="https://www.imdb.com/title/tt0118799/" TargetMode="External" Id="rId1510"/><Relationship Type="http://schemas.openxmlformats.org/officeDocument/2006/relationships/hyperlink" Target="https://www.filmaffinity.com/es/film594480.html" TargetMode="External" Id="rId1511"/><Relationship Type="http://schemas.openxmlformats.org/officeDocument/2006/relationships/hyperlink" Target="https://letterboxd.com/film/life-is-beautiful/" TargetMode="External" Id="rId1512"/><Relationship Type="http://schemas.openxmlformats.org/officeDocument/2006/relationships/hyperlink" Target="https://www.imdb.com/title/tt0119217/" TargetMode="External" Id="rId1513"/><Relationship Type="http://schemas.openxmlformats.org/officeDocument/2006/relationships/hyperlink" Target="https://www.filmaffinity.com/es/film503907.html" TargetMode="External" Id="rId1514"/><Relationship Type="http://schemas.openxmlformats.org/officeDocument/2006/relationships/hyperlink" Target="https://letterboxd.com/film/good-will-hunting/" TargetMode="External" Id="rId1515"/><Relationship Type="http://schemas.openxmlformats.org/officeDocument/2006/relationships/hyperlink" Target="https://www.imdb.com/title/tt0119698/" TargetMode="External" Id="rId1516"/><Relationship Type="http://schemas.openxmlformats.org/officeDocument/2006/relationships/hyperlink" Target="https://www.filmaffinity.com/es/film890814.html" TargetMode="External" Id="rId1517"/><Relationship Type="http://schemas.openxmlformats.org/officeDocument/2006/relationships/hyperlink" Target="https://letterboxd.com/film/princess-mononoke/" TargetMode="External" Id="rId1518"/><Relationship Type="http://schemas.openxmlformats.org/officeDocument/2006/relationships/hyperlink" Target="https://www.imdb.com/title/tt0156887/" TargetMode="External" Id="rId1519"/><Relationship Type="http://schemas.openxmlformats.org/officeDocument/2006/relationships/hyperlink" Target="https://www.filmaffinity.com/es/film392480.html" TargetMode="External" Id="rId1520"/><Relationship Type="http://schemas.openxmlformats.org/officeDocument/2006/relationships/hyperlink" Target="https://letterboxd.com/film/perfect-blue/" TargetMode="External" Id="rId1521"/><Relationship Type="http://schemas.openxmlformats.org/officeDocument/2006/relationships/hyperlink" Target="https://www.imdb.com/title/tt0119167/" TargetMode="External" Id="rId1522"/><Relationship Type="http://schemas.openxmlformats.org/officeDocument/2006/relationships/hyperlink" Target="https://www.filmaffinity.com/es/film315125.html" TargetMode="External" Id="rId1523"/><Relationship Type="http://schemas.openxmlformats.org/officeDocument/2006/relationships/hyperlink" Target="https://letterboxd.com/film/funny-games/" TargetMode="External" Id="rId1524"/><Relationship Type="http://schemas.openxmlformats.org/officeDocument/2006/relationships/hyperlink" Target="https://www.imdb.com/title/tt0119822/" TargetMode="External" Id="rId1525"/><Relationship Type="http://schemas.openxmlformats.org/officeDocument/2006/relationships/hyperlink" Target="https://www.filmaffinity.com/es/film256051.html" TargetMode="External" Id="rId1526"/><Relationship Type="http://schemas.openxmlformats.org/officeDocument/2006/relationships/hyperlink" Target="https://letterboxd.com/film/as-good-as-it-gets/" TargetMode="External" Id="rId1527"/><Relationship Type="http://schemas.openxmlformats.org/officeDocument/2006/relationships/hyperlink" Target="https://www.imdb.com/title/tt0119654/" TargetMode="External" Id="rId1528"/><Relationship Type="http://schemas.openxmlformats.org/officeDocument/2006/relationships/hyperlink" Target="https://www.filmaffinity.com/es/film968702.html" TargetMode="External" Id="rId1529"/><Relationship Type="http://schemas.openxmlformats.org/officeDocument/2006/relationships/hyperlink" Target="https://letterboxd.com/film/men-in-black/" TargetMode="External" Id="rId1530"/><Relationship Type="http://schemas.openxmlformats.org/officeDocument/2006/relationships/hyperlink" Target="https://www.imdb.com/title/tt0118819/" TargetMode="External" Id="rId1531"/><Relationship Type="http://schemas.openxmlformats.org/officeDocument/2006/relationships/hyperlink" Target="https://www.filmaffinity.com/es/film137172.html" TargetMode="External" Id="rId1532"/><Relationship Type="http://schemas.openxmlformats.org/officeDocument/2006/relationships/hyperlink" Target="https://letterboxd.com/film/live-flesh/" TargetMode="External" Id="rId1533"/><Relationship Type="http://schemas.openxmlformats.org/officeDocument/2006/relationships/hyperlink" Target="https://www.imdb.com/title/tt0131479/" TargetMode="External" Id="rId1534"/><Relationship Type="http://schemas.openxmlformats.org/officeDocument/2006/relationships/hyperlink" Target="https://www.filmaffinity.com/es/film978942.html" TargetMode="External" Id="rId1535"/><Relationship Type="http://schemas.openxmlformats.org/officeDocument/2006/relationships/hyperlink" Target="https://letterboxd.com/film/case-closed-the-time-bombed-skyscraper-1997/" TargetMode="External" Id="rId1536"/><Relationship Type="http://schemas.openxmlformats.org/officeDocument/2006/relationships/hyperlink" Target="https://www.imdb.com/title/tt0406672/" TargetMode="External" Id="rId1537"/><Relationship Type="http://schemas.openxmlformats.org/officeDocument/2006/relationships/hyperlink" Target="https://www.filmaffinity.com/es/film423573.html" TargetMode="External" Id="rId1538"/><Relationship Type="http://schemas.openxmlformats.org/officeDocument/2006/relationships/hyperlink" Target="https://letterboxd.com/film/crayon-shin-chan-pursuit-of-the-balls-of-darkness/" TargetMode="External" Id="rId1539"/><Relationship Type="http://schemas.openxmlformats.org/officeDocument/2006/relationships/hyperlink" Target="https://www.imdb.com/title/tt0119282/" TargetMode="External" Id="rId1540"/><Relationship Type="http://schemas.openxmlformats.org/officeDocument/2006/relationships/hyperlink" Target="https://www.filmaffinity.com/es/film783584.html" TargetMode="External" Id="rId1541"/><Relationship Type="http://schemas.openxmlformats.org/officeDocument/2006/relationships/hyperlink" Target="https://letterboxd.com/film/hercules-1997/" TargetMode="External" Id="rId1542"/><Relationship Type="http://schemas.openxmlformats.org/officeDocument/2006/relationships/hyperlink" Target="https://www.imdb.com/title/tt1147510/" TargetMode="External" Id="rId1543"/><Relationship Type="http://schemas.openxmlformats.org/officeDocument/2006/relationships/hyperlink" Target="https://www.filmaffinity.com/es/film176555.html" TargetMode="External" Id="rId1544"/><Relationship Type="http://schemas.openxmlformats.org/officeDocument/2006/relationships/hyperlink" Target="https://letterboxd.com/film/doraemon-nobita-and-the-spiral-city/" TargetMode="External" Id="rId1545"/><Relationship Type="http://schemas.openxmlformats.org/officeDocument/2006/relationships/hyperlink" Target="https://www.imdb.com/title/tt0118615/" TargetMode="External" Id="rId1546"/><Relationship Type="http://schemas.openxmlformats.org/officeDocument/2006/relationships/hyperlink" Target="https://www.filmaffinity.com/es/film381051.html" TargetMode="External" Id="rId1547"/><Relationship Type="http://schemas.openxmlformats.org/officeDocument/2006/relationships/hyperlink" Target="https://letterboxd.com/film/anaconda/" TargetMode="External" Id="rId1548"/><Relationship Type="http://schemas.openxmlformats.org/officeDocument/2006/relationships/hyperlink" Target="https://www.imdb.com/title/tt0117951/" TargetMode="External" Id="rId1549"/><Relationship Type="http://schemas.openxmlformats.org/officeDocument/2006/relationships/hyperlink" Target="https://www.filmaffinity.com/es/film959573.html" TargetMode="External" Id="rId1550"/><Relationship Type="http://schemas.openxmlformats.org/officeDocument/2006/relationships/hyperlink" Target="https://letterboxd.com/film/trainspotting/" TargetMode="External" Id="rId1551"/><Relationship Type="http://schemas.openxmlformats.org/officeDocument/2006/relationships/hyperlink" Target="https://www.imdb.com/title/tt0117381/" TargetMode="External" Id="rId1552"/><Relationship Type="http://schemas.openxmlformats.org/officeDocument/2006/relationships/hyperlink" Target="https://www.filmaffinity.com/es/film859193.html" TargetMode="External" Id="rId1553"/><Relationship Type="http://schemas.openxmlformats.org/officeDocument/2006/relationships/hyperlink" Target="https://letterboxd.com/film/primal-fear/" TargetMode="External" Id="rId1554"/><Relationship Type="http://schemas.openxmlformats.org/officeDocument/2006/relationships/hyperlink" Target="https://www.imdb.com/title/tt0117883/" TargetMode="External" Id="rId1555"/><Relationship Type="http://schemas.openxmlformats.org/officeDocument/2006/relationships/hyperlink" Target="https://www.filmaffinity.com/es/film531662.html" TargetMode="External" Id="rId1556"/><Relationship Type="http://schemas.openxmlformats.org/officeDocument/2006/relationships/hyperlink" Target="https://letterboxd.com/film/thesis/" TargetMode="External" Id="rId1557"/><Relationship Type="http://schemas.openxmlformats.org/officeDocument/2006/relationships/hyperlink" Target="https://www.imdb.com/title/tt0116282/" TargetMode="External" Id="rId1558"/><Relationship Type="http://schemas.openxmlformats.org/officeDocument/2006/relationships/hyperlink" Target="https://www.filmaffinity.com/es/film336111.html" TargetMode="External" Id="rId1559"/><Relationship Type="http://schemas.openxmlformats.org/officeDocument/2006/relationships/hyperlink" Target="https://letterboxd.com/film/fargo/" TargetMode="External" Id="rId1560"/><Relationship Type="http://schemas.openxmlformats.org/officeDocument/2006/relationships/hyperlink" Target="https://www.imdb.com/title/tt0116583/" TargetMode="External" Id="rId1561"/><Relationship Type="http://schemas.openxmlformats.org/officeDocument/2006/relationships/hyperlink" Target="https://www.filmaffinity.com/es/film428225.html" TargetMode="External" Id="rId1562"/><Relationship Type="http://schemas.openxmlformats.org/officeDocument/2006/relationships/hyperlink" Target="https://letterboxd.com/film/the-hunchback-of-notre-dame-1996/" TargetMode="External" Id="rId1563"/><Relationship Type="http://schemas.openxmlformats.org/officeDocument/2006/relationships/hyperlink" Target="https://www.imdb.com/title/tt1147522/" TargetMode="External" Id="rId1564"/><Relationship Type="http://schemas.openxmlformats.org/officeDocument/2006/relationships/hyperlink" Target="https://www.filmaffinity.com/es/film867068.html" TargetMode="External" Id="rId1565"/><Relationship Type="http://schemas.openxmlformats.org/officeDocument/2006/relationships/hyperlink" Target="https://letterboxd.com/film/doraemon-nobita-and-the-galaxy-super-express/" TargetMode="External" Id="rId1566"/><Relationship Type="http://schemas.openxmlformats.org/officeDocument/2006/relationships/hyperlink" Target="https://www.imdb.com/title/tt2643796/" TargetMode="External" Id="rId1567"/><Relationship Type="http://schemas.openxmlformats.org/officeDocument/2006/relationships/hyperlink" Target="https://www.filmaffinity.com/es/film741873.html" TargetMode="External" Id="rId1568"/><Relationship Type="http://schemas.openxmlformats.org/officeDocument/2006/relationships/hyperlink" Target="https://letterboxd.com/film/crayon-shin-chan-great-adventure-in-henderland/" TargetMode="External" Id="rId1569"/><Relationship Type="http://schemas.openxmlformats.org/officeDocument/2006/relationships/hyperlink" Target="https://www.imdb.com/title/tt0117571/" TargetMode="External" Id="rId1570"/><Relationship Type="http://schemas.openxmlformats.org/officeDocument/2006/relationships/hyperlink" Target="https://www.filmaffinity.com/es/film677939.html" TargetMode="External" Id="rId1571"/><Relationship Type="http://schemas.openxmlformats.org/officeDocument/2006/relationships/hyperlink" Target="https://letterboxd.com/film/scream/" TargetMode="External" Id="rId1572"/><Relationship Type="http://schemas.openxmlformats.org/officeDocument/2006/relationships/hyperlink" Target="https://www.imdb.com/title/tt0114814/" TargetMode="External" Id="rId1573"/><Relationship Type="http://schemas.openxmlformats.org/officeDocument/2006/relationships/hyperlink" Target="https://www.filmaffinity.com/es/film408515.html" TargetMode="External" Id="rId1574"/><Relationship Type="http://schemas.openxmlformats.org/officeDocument/2006/relationships/hyperlink" Target="https://letterboxd.com/film/the-usual-suspects/" TargetMode="External" Id="rId1575"/><Relationship Type="http://schemas.openxmlformats.org/officeDocument/2006/relationships/hyperlink" Target="https://www.imdb.com/title/tt0178952/" TargetMode="External" Id="rId1576"/><Relationship Type="http://schemas.openxmlformats.org/officeDocument/2006/relationships/hyperlink" Target="https://www.imdb.com/title/tt0114369/" TargetMode="External" Id="rId1577"/><Relationship Type="http://schemas.openxmlformats.org/officeDocument/2006/relationships/hyperlink" Target="https://www.filmaffinity.com/es/film575149.html" TargetMode="External" Id="rId1578"/><Relationship Type="http://schemas.openxmlformats.org/officeDocument/2006/relationships/hyperlink" Target="https://letterboxd.com/film/se7en/" TargetMode="External" Id="rId1579"/><Relationship Type="http://schemas.openxmlformats.org/officeDocument/2006/relationships/hyperlink" Target="https://www.imdb.com/title/tt0112851/" TargetMode="External" Id="rId1580"/><Relationship Type="http://schemas.openxmlformats.org/officeDocument/2006/relationships/hyperlink" Target="https://www.filmaffinity.com/es/film706374.html" TargetMode="External" Id="rId1581"/><Relationship Type="http://schemas.openxmlformats.org/officeDocument/2006/relationships/hyperlink" Target="https://letterboxd.com/film/desperado/" TargetMode="External" Id="rId1582"/><Relationship Type="http://schemas.openxmlformats.org/officeDocument/2006/relationships/hyperlink" Target="https://www.imdb.com/title/tt0110912/" TargetMode="External" Id="rId1583"/><Relationship Type="http://schemas.openxmlformats.org/officeDocument/2006/relationships/hyperlink" Target="https://www.filmaffinity.com/es/film160882.html" TargetMode="External" Id="rId1584"/><Relationship Type="http://schemas.openxmlformats.org/officeDocument/2006/relationships/hyperlink" Target="https://letterboxd.com/film/pulp-fiction/" TargetMode="External" Id="rId1585"/><Relationship Type="http://schemas.openxmlformats.org/officeDocument/2006/relationships/hyperlink" Target="https://www.imdb.com/title/tt0111161/" TargetMode="External" Id="rId1586"/><Relationship Type="http://schemas.openxmlformats.org/officeDocument/2006/relationships/hyperlink" Target="https://www.filmaffinity.com/es/film161026.html" TargetMode="External" Id="rId1587"/><Relationship Type="http://schemas.openxmlformats.org/officeDocument/2006/relationships/hyperlink" Target="https://letterboxd.com/film/the-shawshank-redemption/" TargetMode="External" Id="rId1588"/><Relationship Type="http://schemas.openxmlformats.org/officeDocument/2006/relationships/hyperlink" Target="https://www.imdb.com/title/tt0109830/" TargetMode="External" Id="rId1589"/><Relationship Type="http://schemas.openxmlformats.org/officeDocument/2006/relationships/hyperlink" Target="https://www.filmaffinity.com/es/film444796.html" TargetMode="External" Id="rId1590"/><Relationship Type="http://schemas.openxmlformats.org/officeDocument/2006/relationships/hyperlink" Target="https://letterboxd.com/film/forrest-gump/" TargetMode="External" Id="rId1591"/><Relationship Type="http://schemas.openxmlformats.org/officeDocument/2006/relationships/hyperlink" Target="https://www.imdb.com/title/tt0110357/" TargetMode="External" Id="rId1592"/><Relationship Type="http://schemas.openxmlformats.org/officeDocument/2006/relationships/hyperlink" Target="https://www.filmaffinity.com/es/film419029.html" TargetMode="External" Id="rId1593"/><Relationship Type="http://schemas.openxmlformats.org/officeDocument/2006/relationships/hyperlink" Target="https://letterboxd.com/film/the-lion-king/" TargetMode="External" Id="rId1594"/><Relationship Type="http://schemas.openxmlformats.org/officeDocument/2006/relationships/hyperlink" Target="https://www.imdb.com/title/tt0110475/" TargetMode="External" Id="rId1595"/><Relationship Type="http://schemas.openxmlformats.org/officeDocument/2006/relationships/hyperlink" Target="https://www.filmaffinity.com/es/film471324.html" TargetMode="External" Id="rId1596"/><Relationship Type="http://schemas.openxmlformats.org/officeDocument/2006/relationships/hyperlink" Target="https://letterboxd.com/film/the-mask-1994/" TargetMode="External" Id="rId1597"/><Relationship Type="http://schemas.openxmlformats.org/officeDocument/2006/relationships/hyperlink" Target="https://www.imdb.com/title/tt0109686/" TargetMode="External" Id="rId1598"/><Relationship Type="http://schemas.openxmlformats.org/officeDocument/2006/relationships/hyperlink" Target="https://www.filmaffinity.com/es/film688273.html" TargetMode="External" Id="rId1599"/><Relationship Type="http://schemas.openxmlformats.org/officeDocument/2006/relationships/hyperlink" Target="https://letterboxd.com/film/dumb-and-dumber/" TargetMode="External" Id="rId1600"/><Relationship Type="http://schemas.openxmlformats.org/officeDocument/2006/relationships/hyperlink" Target="https://www.imdb.com/title/tt0110989/" TargetMode="External" Id="rId1601"/><Relationship Type="http://schemas.openxmlformats.org/officeDocument/2006/relationships/hyperlink" Target="https://www.filmaffinity.com/es/film786577.html" TargetMode="External" Id="rId1602"/><Relationship Type="http://schemas.openxmlformats.org/officeDocument/2006/relationships/hyperlink" Target="https://letterboxd.com/film/rihie-rih/" TargetMode="External" Id="rId1603"/><Relationship Type="http://schemas.openxmlformats.org/officeDocument/2006/relationships/hyperlink" Target="https://www.imdb.com/title/tt0108052/" TargetMode="External" Id="rId1604"/><Relationship Type="http://schemas.openxmlformats.org/officeDocument/2006/relationships/hyperlink" Target="https://www.filmaffinity.com/es/film656153.html" TargetMode="External" Id="rId1605"/><Relationship Type="http://schemas.openxmlformats.org/officeDocument/2006/relationships/hyperlink" Target="https://letterboxd.com/film/schindlers-list/" TargetMode="External" Id="rId1606"/><Relationship Type="http://schemas.openxmlformats.org/officeDocument/2006/relationships/hyperlink" Target="https://www.imdb.com/title/tt0107290/" TargetMode="External" Id="rId1607"/><Relationship Type="http://schemas.openxmlformats.org/officeDocument/2006/relationships/hyperlink" Target="https://www.filmaffinity.com/es/film152490.html" TargetMode="External" Id="rId1608"/><Relationship Type="http://schemas.openxmlformats.org/officeDocument/2006/relationships/hyperlink" Target="https://letterboxd.com/film/jurassic-park/" TargetMode="External" Id="rId1609"/><Relationship Type="http://schemas.openxmlformats.org/officeDocument/2006/relationships/hyperlink" Target="https://www.imdb.com/title/tt0107688/" TargetMode="External" Id="rId1610"/><Relationship Type="http://schemas.openxmlformats.org/officeDocument/2006/relationships/hyperlink" Target="https://www.filmaffinity.com/es/film366417.html" TargetMode="External" Id="rId1611"/><Relationship Type="http://schemas.openxmlformats.org/officeDocument/2006/relationships/hyperlink" Target="https://letterboxd.com/film/the-nightmare-before-christmas/" TargetMode="External" Id="rId1612"/><Relationship Type="http://schemas.openxmlformats.org/officeDocument/2006/relationships/hyperlink" Target="https://www.imdb.com/title/tt1147521/" TargetMode="External" Id="rId1613"/><Relationship Type="http://schemas.openxmlformats.org/officeDocument/2006/relationships/hyperlink" Target="https://www.filmaffinity.com/es/film319500.html" TargetMode="External" Id="rId1614"/><Relationship Type="http://schemas.openxmlformats.org/officeDocument/2006/relationships/hyperlink" Target="https://letterboxd.com/film/doraemon-nobita-and-the-tin-labyrinth/" TargetMode="External" Id="rId1615"/><Relationship Type="http://schemas.openxmlformats.org/officeDocument/2006/relationships/hyperlink" Target="https://www.imdb.com/title/tt0107315/" TargetMode="External" Id="rId1616"/><Relationship Type="http://schemas.openxmlformats.org/officeDocument/2006/relationships/hyperlink" Target="https://www.filmaffinity.com/es/film415671.html" TargetMode="External" Id="rId1617"/><Relationship Type="http://schemas.openxmlformats.org/officeDocument/2006/relationships/hyperlink" Target="https://letterboxd.com/film/kika/" TargetMode="External" Id="rId1618"/><Relationship Type="http://schemas.openxmlformats.org/officeDocument/2006/relationships/hyperlink" Target="https://www.imdb.com/title/tt0105236/" TargetMode="External" Id="rId1619"/><Relationship Type="http://schemas.openxmlformats.org/officeDocument/2006/relationships/hyperlink" Target="https://www.filmaffinity.com/es/film137887.html" TargetMode="External" Id="rId1620"/><Relationship Type="http://schemas.openxmlformats.org/officeDocument/2006/relationships/hyperlink" Target="https://letterboxd.com/film/reservoir-dogs/" TargetMode="External" Id="rId1621"/><Relationship Type="http://schemas.openxmlformats.org/officeDocument/2006/relationships/hyperlink" Target="https://www.imdb.com/title/tt0104797/" TargetMode="External" Id="rId1622"/><Relationship Type="http://schemas.openxmlformats.org/officeDocument/2006/relationships/hyperlink" Target="https://www.filmaffinity.com/es/film331778.html" TargetMode="External" Id="rId1623"/><Relationship Type="http://schemas.openxmlformats.org/officeDocument/2006/relationships/hyperlink" Target="https://letterboxd.com/film/malcolm-x-1992/" TargetMode="External" Id="rId1624"/><Relationship Type="http://schemas.openxmlformats.org/officeDocument/2006/relationships/hyperlink" Target="https://www.imdb.com/title/tt0103639/" TargetMode="External" Id="rId1625"/><Relationship Type="http://schemas.openxmlformats.org/officeDocument/2006/relationships/hyperlink" Target="https://www.filmaffinity.com/es/film800220.html" TargetMode="External" Id="rId1626"/><Relationship Type="http://schemas.openxmlformats.org/officeDocument/2006/relationships/hyperlink" Target="https://letterboxd.com/film/aladdin/" TargetMode="External" Id="rId1627"/><Relationship Type="http://schemas.openxmlformats.org/officeDocument/2006/relationships/hyperlink" Target="https://www.imdb.com/title/tt0103855/" TargetMode="External" Id="rId1628"/><Relationship Type="http://schemas.openxmlformats.org/officeDocument/2006/relationships/hyperlink" Target="https://www.filmaffinity.com/es/film787272.html" TargetMode="External" Id="rId1629"/><Relationship Type="http://schemas.openxmlformats.org/officeDocument/2006/relationships/hyperlink" Target="https://letterboxd.com/film/the-bodyguard-1992/" TargetMode="External" Id="rId1630"/><Relationship Type="http://schemas.openxmlformats.org/officeDocument/2006/relationships/hyperlink" Target="https://www.imdb.com/title/tt0102926/" TargetMode="External" Id="rId1631"/><Relationship Type="http://schemas.openxmlformats.org/officeDocument/2006/relationships/hyperlink" Target="https://www.filmaffinity.com/es/film768790.html" TargetMode="External" Id="rId1632"/><Relationship Type="http://schemas.openxmlformats.org/officeDocument/2006/relationships/hyperlink" Target="https://letterboxd.com/film/the-silence-of-the-lambs/" TargetMode="External" Id="rId1633"/><Relationship Type="http://schemas.openxmlformats.org/officeDocument/2006/relationships/hyperlink" Target="https://www.imdb.com/title/tt0101414/" TargetMode="External" Id="rId1634"/><Relationship Type="http://schemas.openxmlformats.org/officeDocument/2006/relationships/hyperlink" Target="https://www.filmaffinity.com/es/film966887.html" TargetMode="External" Id="rId1635"/><Relationship Type="http://schemas.openxmlformats.org/officeDocument/2006/relationships/hyperlink" Target="https://letterboxd.com/film/beauty-and-the-beast-1991/" TargetMode="External" Id="rId1636"/><Relationship Type="http://schemas.openxmlformats.org/officeDocument/2006/relationships/hyperlink" Target="https://www.imdb.com/title/tt1147508/" TargetMode="External" Id="rId1637"/><Relationship Type="http://schemas.openxmlformats.org/officeDocument/2006/relationships/hyperlink" Target="https://www.filmaffinity.com/es/film863985.html" TargetMode="External" Id="rId1638"/><Relationship Type="http://schemas.openxmlformats.org/officeDocument/2006/relationships/hyperlink" Target="https://letterboxd.com/film/doraemon-nobitas-dorabian-nights/" TargetMode="External" Id="rId1639"/><Relationship Type="http://schemas.openxmlformats.org/officeDocument/2006/relationships/hyperlink" Target="https://www.imdb.com/title/tt0099674/" TargetMode="External" Id="rId1640"/><Relationship Type="http://schemas.openxmlformats.org/officeDocument/2006/relationships/hyperlink" Target="https://www.filmaffinity.com/es/film346540.html" TargetMode="External" Id="rId1641"/><Relationship Type="http://schemas.openxmlformats.org/officeDocument/2006/relationships/hyperlink" Target="https://letterboxd.com/film/the-godfather-part-iii/" TargetMode="External" Id="rId1642"/><Relationship Type="http://schemas.openxmlformats.org/officeDocument/2006/relationships/hyperlink" Target="https://www.imdb.com/title/tt0099685/" TargetMode="External" Id="rId1643"/><Relationship Type="http://schemas.openxmlformats.org/officeDocument/2006/relationships/hyperlink" Target="https://www.filmaffinity.com/es/film978961.html" TargetMode="External" Id="rId1644"/><Relationship Type="http://schemas.openxmlformats.org/officeDocument/2006/relationships/hyperlink" Target="https://letterboxd.com/film/goodfellas/" TargetMode="External" Id="rId1645"/><Relationship Type="http://schemas.openxmlformats.org/officeDocument/2006/relationships/hyperlink" Target="https://www.imdb.com/title/tt0099077/" TargetMode="External" Id="rId1646"/><Relationship Type="http://schemas.openxmlformats.org/officeDocument/2006/relationships/hyperlink" Target="https://www.filmaffinity.com/es/film353757.html" TargetMode="External" Id="rId1647"/><Relationship Type="http://schemas.openxmlformats.org/officeDocument/2006/relationships/hyperlink" Target="https://letterboxd.com/film/awakenings/" TargetMode="External" Id="rId1648"/><Relationship Type="http://schemas.openxmlformats.org/officeDocument/2006/relationships/hyperlink" Target="https://www.imdb.com/title/tt0099653/" TargetMode="External" Id="rId1649"/><Relationship Type="http://schemas.openxmlformats.org/officeDocument/2006/relationships/hyperlink" Target="https://www.filmaffinity.com/es/film893272.html" TargetMode="External" Id="rId1650"/><Relationship Type="http://schemas.openxmlformats.org/officeDocument/2006/relationships/hyperlink" Target="https://letterboxd.com/film/ghost/" TargetMode="External" Id="rId1651"/><Relationship Type="http://schemas.openxmlformats.org/officeDocument/2006/relationships/hyperlink" Target="https://www.imdb.com/title/tt0100157/" TargetMode="External" Id="rId1652"/><Relationship Type="http://schemas.openxmlformats.org/officeDocument/2006/relationships/hyperlink" Target="https://www.filmaffinity.com/es/film626037.html" TargetMode="External" Id="rId1653"/><Relationship Type="http://schemas.openxmlformats.org/officeDocument/2006/relationships/hyperlink" Target="https://letterboxd.com/film/misery/" TargetMode="External" Id="rId1654"/><Relationship Type="http://schemas.openxmlformats.org/officeDocument/2006/relationships/hyperlink" Target="https://www.imdb.com/title/tt0097165/" TargetMode="External" Id="rId1655"/><Relationship Type="http://schemas.openxmlformats.org/officeDocument/2006/relationships/hyperlink" Target="https://www.filmaffinity.com/es/film315826.html" TargetMode="External" Id="rId1656"/><Relationship Type="http://schemas.openxmlformats.org/officeDocument/2006/relationships/hyperlink" Target="https://letterboxd.com/film/dead-poets-society/" TargetMode="External" Id="rId1657"/><Relationship Type="http://schemas.openxmlformats.org/officeDocument/2006/relationships/hyperlink" Target="https://www.imdb.com/title/tt0097814/" TargetMode="External" Id="rId1658"/><Relationship Type="http://schemas.openxmlformats.org/officeDocument/2006/relationships/hyperlink" Target="https://www.filmaffinity.com/es/film583615.html" TargetMode="External" Id="rId1659"/><Relationship Type="http://schemas.openxmlformats.org/officeDocument/2006/relationships/hyperlink" Target="https://letterboxd.com/film/kikis-delivery-service/" TargetMode="External" Id="rId1660"/><Relationship Type="http://schemas.openxmlformats.org/officeDocument/2006/relationships/hyperlink" Target="https://www.imdb.com/title/tt0097757/" TargetMode="External" Id="rId1661"/><Relationship Type="http://schemas.openxmlformats.org/officeDocument/2006/relationships/hyperlink" Target="https://www.filmaffinity.com/es/film130551.html" TargetMode="External" Id="rId1662"/><Relationship Type="http://schemas.openxmlformats.org/officeDocument/2006/relationships/hyperlink" Target="https://letterboxd.com/film/the-little-mermaid/" TargetMode="External" Id="rId1663"/><Relationship Type="http://schemas.openxmlformats.org/officeDocument/2006/relationships/hyperlink" Target="https://www.imdb.com/title/tt0095953/" TargetMode="External" Id="rId1664"/><Relationship Type="http://schemas.openxmlformats.org/officeDocument/2006/relationships/hyperlink" Target="https://www.filmaffinity.com/es/film579520.html" TargetMode="External" Id="rId1665"/><Relationship Type="http://schemas.openxmlformats.org/officeDocument/2006/relationships/hyperlink" Target="https://letterboxd.com/film/rain-man/" TargetMode="External" Id="rId1666"/><Relationship Type="http://schemas.openxmlformats.org/officeDocument/2006/relationships/hyperlink" Target="https://www.imdb.com/title/tt0094625/" TargetMode="External" Id="rId1667"/><Relationship Type="http://schemas.openxmlformats.org/officeDocument/2006/relationships/hyperlink" Target="https://www.filmaffinity.com/es/film144113.html" TargetMode="External" Id="rId1668"/><Relationship Type="http://schemas.openxmlformats.org/officeDocument/2006/relationships/hyperlink" Target="https://letterboxd.com/film/akira/" TargetMode="External" Id="rId1669"/><Relationship Type="http://schemas.openxmlformats.org/officeDocument/2006/relationships/hyperlink" Target="https://www.imdb.com/title/tt0096446/" TargetMode="External" Id="rId1670"/><Relationship Type="http://schemas.openxmlformats.org/officeDocument/2006/relationships/hyperlink" Target="https://www.filmaffinity.com/es/film350632.html" TargetMode="External" Id="rId1671"/><Relationship Type="http://schemas.openxmlformats.org/officeDocument/2006/relationships/hyperlink" Target="https://letterboxd.com/film/willow/" TargetMode="External" Id="rId1672"/><Relationship Type="http://schemas.openxmlformats.org/officeDocument/2006/relationships/hyperlink" Target="https://www.imdb.com/title/tt0096283/" TargetMode="External" Id="rId1673"/><Relationship Type="http://schemas.openxmlformats.org/officeDocument/2006/relationships/hyperlink" Target="https://www.filmaffinity.com/es/film646631.html" TargetMode="External" Id="rId1674"/><Relationship Type="http://schemas.openxmlformats.org/officeDocument/2006/relationships/hyperlink" Target="https://letterboxd.com/film/my-neighbor-totoro/" TargetMode="External" Id="rId1675"/><Relationship Type="http://schemas.openxmlformats.org/officeDocument/2006/relationships/hyperlink" Target="https://www.imdb.com/title/tt0095327/" TargetMode="External" Id="rId1676"/><Relationship Type="http://schemas.openxmlformats.org/officeDocument/2006/relationships/hyperlink" Target="https://www.filmaffinity.com/es/film582716.html" TargetMode="External" Id="rId1677"/><Relationship Type="http://schemas.openxmlformats.org/officeDocument/2006/relationships/hyperlink" Target="https://letterboxd.com/film/grave-of-the-fireflies/" TargetMode="External" Id="rId1678"/><Relationship Type="http://schemas.openxmlformats.org/officeDocument/2006/relationships/hyperlink" Target="https://www.imdb.com/title/tt0094721/" TargetMode="External" Id="rId1679"/><Relationship Type="http://schemas.openxmlformats.org/officeDocument/2006/relationships/hyperlink" Target="https://www.filmaffinity.com/es/film706877.html" TargetMode="External" Id="rId1680"/><Relationship Type="http://schemas.openxmlformats.org/officeDocument/2006/relationships/hyperlink" Target="https://letterboxd.com/film/beetlejuice/" TargetMode="External" Id="rId1681"/><Relationship Type="http://schemas.openxmlformats.org/officeDocument/2006/relationships/hyperlink" Target="https://www.imdb.com/title/tt0095675/" TargetMode="External" Id="rId1682"/><Relationship Type="http://schemas.openxmlformats.org/officeDocument/2006/relationships/hyperlink" Target="https://www.filmaffinity.com/es/film813529.html" TargetMode="External" Id="rId1683"/><Relationship Type="http://schemas.openxmlformats.org/officeDocument/2006/relationships/hyperlink" Target="https://letterboxd.com/film/women-on-the-verge-of-a-nervous-breakdown/" TargetMode="External" Id="rId1684"/><Relationship Type="http://schemas.openxmlformats.org/officeDocument/2006/relationships/hyperlink" Target="https://www.imdb.com/title/tt0095243/" TargetMode="External" Id="rId1685"/><Relationship Type="http://schemas.openxmlformats.org/officeDocument/2006/relationships/hyperlink" Target="https://www.filmaffinity.com/es/film888941.html" TargetMode="External" Id="rId1686"/><Relationship Type="http://schemas.openxmlformats.org/officeDocument/2006/relationships/hyperlink" Target="https://letterboxd.com/film/gorillas-in-the-mist/" TargetMode="External" Id="rId1687"/><Relationship Type="http://schemas.openxmlformats.org/officeDocument/2006/relationships/hyperlink" Target="https://www.imdb.com/title/tt0093105/" TargetMode="External" Id="rId1688"/><Relationship Type="http://schemas.openxmlformats.org/officeDocument/2006/relationships/hyperlink" Target="https://www.filmaffinity.com/es/film693588.html" TargetMode="External" Id="rId1689"/><Relationship Type="http://schemas.openxmlformats.org/officeDocument/2006/relationships/hyperlink" Target="https://letterboxd.com/film/good-morning-vietnam/" TargetMode="External" Id="rId1690"/><Relationship Type="http://schemas.openxmlformats.org/officeDocument/2006/relationships/hyperlink" Target="https://www.imdb.com/title/tt0093773/" TargetMode="External" Id="rId1691"/><Relationship Type="http://schemas.openxmlformats.org/officeDocument/2006/relationships/hyperlink" Target="https://www.filmaffinity.com/es/film987948.html" TargetMode="External" Id="rId1692"/><Relationship Type="http://schemas.openxmlformats.org/officeDocument/2006/relationships/hyperlink" Target="https://letterboxd.com/film/predator/" TargetMode="External" Id="rId1693"/><Relationship Type="http://schemas.openxmlformats.org/officeDocument/2006/relationships/hyperlink" Target="https://www.imdb.com/title/tt0091763/" TargetMode="External" Id="rId1694"/><Relationship Type="http://schemas.openxmlformats.org/officeDocument/2006/relationships/hyperlink" Target="https://www.filmaffinity.com/es/film541907.html" TargetMode="External" Id="rId1695"/><Relationship Type="http://schemas.openxmlformats.org/officeDocument/2006/relationships/hyperlink" Target="https://letterboxd.com/film/platoon/" TargetMode="External" Id="rId1696"/><Relationship Type="http://schemas.openxmlformats.org/officeDocument/2006/relationships/hyperlink" Target="https://www.imdb.com/title/tt0089218/" TargetMode="External" Id="rId1697"/><Relationship Type="http://schemas.openxmlformats.org/officeDocument/2006/relationships/hyperlink" Target="https://www.filmaffinity.com/es/film128090.html" TargetMode="External" Id="rId1698"/><Relationship Type="http://schemas.openxmlformats.org/officeDocument/2006/relationships/hyperlink" Target="https://letterboxd.com/film/the-goonies/" TargetMode="External" Id="rId1699"/><Relationship Type="http://schemas.openxmlformats.org/officeDocument/2006/relationships/hyperlink" Target="https://www.imdb.com/title/tt0089791/" TargetMode="External" Id="rId1700"/><Relationship Type="http://schemas.openxmlformats.org/officeDocument/2006/relationships/hyperlink" Target="https://www.filmaffinity.com/es/film767238.html" TargetMode="External" Id="rId1701"/><Relationship Type="http://schemas.openxmlformats.org/officeDocument/2006/relationships/hyperlink" Target="https://letterboxd.com/film/pee-wees-big-adventure/" TargetMode="External" Id="rId1702"/><Relationship Type="http://schemas.openxmlformats.org/officeDocument/2006/relationships/hyperlink" Target="https://www.imdb.com/title/tt0088040/" TargetMode="External" Id="rId1703"/><Relationship Type="http://schemas.openxmlformats.org/officeDocument/2006/relationships/hyperlink" Target="https://www.filmaffinity.com/es/film879812.html" TargetMode="External" Id="rId1704"/><Relationship Type="http://schemas.openxmlformats.org/officeDocument/2006/relationships/hyperlink" Target="https://letterboxd.com/film/the-holy-innocents/" TargetMode="External" Id="rId1705"/><Relationship Type="http://schemas.openxmlformats.org/officeDocument/2006/relationships/hyperlink" Target="https://www.imdb.com/title/tt0087800/" TargetMode="External" Id="rId1706"/><Relationship Type="http://schemas.openxmlformats.org/officeDocument/2006/relationships/hyperlink" Target="https://www.filmaffinity.com/es/film183669.html" TargetMode="External" Id="rId1707"/><Relationship Type="http://schemas.openxmlformats.org/officeDocument/2006/relationships/hyperlink" Target="https://letterboxd.com/film/a-nightmare-on-elm-street/" TargetMode="External" Id="rId1708"/><Relationship Type="http://schemas.openxmlformats.org/officeDocument/2006/relationships/hyperlink" Target="https://www.imdb.com/title/tt0087363/" TargetMode="External" Id="rId1709"/><Relationship Type="http://schemas.openxmlformats.org/officeDocument/2006/relationships/hyperlink" Target="https://www.filmaffinity.com/es/film455839.html" TargetMode="External" Id="rId1710"/><Relationship Type="http://schemas.openxmlformats.org/officeDocument/2006/relationships/hyperlink" Target="https://letterboxd.com/film/gremlins/" TargetMode="External" Id="rId1711"/><Relationship Type="http://schemas.openxmlformats.org/officeDocument/2006/relationships/hyperlink" Target="https://www.imdb.com/title/tt0087332/" TargetMode="External" Id="rId1712"/><Relationship Type="http://schemas.openxmlformats.org/officeDocument/2006/relationships/hyperlink" Target="https://www.filmaffinity.com/es/film289694.html" TargetMode="External" Id="rId1713"/><Relationship Type="http://schemas.openxmlformats.org/officeDocument/2006/relationships/hyperlink" Target="https://letterboxd.com/film/ghostbusters/" TargetMode="External" Id="rId1714"/><Relationship Type="http://schemas.openxmlformats.org/officeDocument/2006/relationships/hyperlink" Target="https://www.imdb.com/title/tt0087538/" TargetMode="External" Id="rId1715"/><Relationship Type="http://schemas.openxmlformats.org/officeDocument/2006/relationships/hyperlink" Target="https://www.filmaffinity.com/es/film514042.html" TargetMode="External" Id="rId1716"/><Relationship Type="http://schemas.openxmlformats.org/officeDocument/2006/relationships/hyperlink" Target="https://letterboxd.com/film/the-karate-kid/" TargetMode="External" Id="rId1717"/><Relationship Type="http://schemas.openxmlformats.org/officeDocument/2006/relationships/hyperlink" Target="https://www.imdb.com/title/tt0086250/" TargetMode="External" Id="rId1718"/><Relationship Type="http://schemas.openxmlformats.org/officeDocument/2006/relationships/hyperlink" Target="https://www.filmaffinity.com/es/film188896.html" TargetMode="External" Id="rId1719"/><Relationship Type="http://schemas.openxmlformats.org/officeDocument/2006/relationships/hyperlink" Target="https://letterboxd.com/film/scarface-1983/" TargetMode="External" Id="rId1720"/><Relationship Type="http://schemas.openxmlformats.org/officeDocument/2006/relationships/hyperlink" Target="https://www.imdb.com/title/tt0086190/" TargetMode="External" Id="rId1721"/><Relationship Type="http://schemas.openxmlformats.org/officeDocument/2006/relationships/hyperlink" Target="https://www.filmaffinity.com/es/film226172.html" TargetMode="External" Id="rId1722"/><Relationship Type="http://schemas.openxmlformats.org/officeDocument/2006/relationships/hyperlink" Target="https://letterboxd.com/film/return-of-the-jedi/" TargetMode="External" Id="rId1723"/><Relationship Type="http://schemas.openxmlformats.org/officeDocument/2006/relationships/hyperlink" Target="https://www.imdb.com/title/tt0085549/" TargetMode="External" Id="rId1724"/><Relationship Type="http://schemas.openxmlformats.org/officeDocument/2006/relationships/hyperlink" Target="https://www.filmaffinity.com/es/film669395.html" TargetMode="External" Id="rId1725"/><Relationship Type="http://schemas.openxmlformats.org/officeDocument/2006/relationships/hyperlink" Target="https://letterboxd.com/film/flashdance/" TargetMode="External" Id="rId1726"/><Relationship Type="http://schemas.openxmlformats.org/officeDocument/2006/relationships/hyperlink" Target="https://www.imdb.com/title/tt0083658/" TargetMode="External" Id="rId1727"/><Relationship Type="http://schemas.openxmlformats.org/officeDocument/2006/relationships/hyperlink" Target="https://www.filmaffinity.com/es/film358476.html" TargetMode="External" Id="rId1728"/><Relationship Type="http://schemas.openxmlformats.org/officeDocument/2006/relationships/hyperlink" Target="https://letterboxd.com/film/blade-runner/" TargetMode="External" Id="rId1729"/><Relationship Type="http://schemas.openxmlformats.org/officeDocument/2006/relationships/hyperlink" Target="https://www.imdb.com/title/tt0084874/" TargetMode="External" Id="rId1730"/><Relationship Type="http://schemas.openxmlformats.org/officeDocument/2006/relationships/hyperlink" Target="https://www.filmaffinity.com/es/film904876.html" TargetMode="External" Id="rId1731"/><Relationship Type="http://schemas.openxmlformats.org/officeDocument/2006/relationships/hyperlink" Target="https://letterboxd.com/film/to-begin-again/" TargetMode="External" Id="rId1732"/><Relationship Type="http://schemas.openxmlformats.org/officeDocument/2006/relationships/hyperlink" Target="https://www.imdb.com/title/tt0083866/" TargetMode="External" Id="rId1733"/><Relationship Type="http://schemas.openxmlformats.org/officeDocument/2006/relationships/hyperlink" Target="https://www.filmaffinity.com/es/film627362.html" TargetMode="External" Id="rId1734"/><Relationship Type="http://schemas.openxmlformats.org/officeDocument/2006/relationships/hyperlink" Target="https://letterboxd.com/film/et-the-extra-terrestrial/" TargetMode="External" Id="rId1735"/><Relationship Type="http://schemas.openxmlformats.org/officeDocument/2006/relationships/hyperlink" Target="https://www.imdb.com/title/tt0082971/" TargetMode="External" Id="rId1736"/><Relationship Type="http://schemas.openxmlformats.org/officeDocument/2006/relationships/hyperlink" Target="https://www.filmaffinity.com/es/film727297.html" TargetMode="External" Id="rId1737"/><Relationship Type="http://schemas.openxmlformats.org/officeDocument/2006/relationships/hyperlink" Target="https://letterboxd.com/film/raiders-of-the-lost-ark/" TargetMode="External" Id="rId1738"/><Relationship Type="http://schemas.openxmlformats.org/officeDocument/2006/relationships/hyperlink" Target="https://www.imdb.com/title/tt0081505/" TargetMode="External" Id="rId1739"/><Relationship Type="http://schemas.openxmlformats.org/officeDocument/2006/relationships/hyperlink" Target="https://www.filmaffinity.com/es/film598422.html" TargetMode="External" Id="rId1740"/><Relationship Type="http://schemas.openxmlformats.org/officeDocument/2006/relationships/hyperlink" Target="https://letterboxd.com/film/the-shining/" TargetMode="External" Id="rId1741"/><Relationship Type="http://schemas.openxmlformats.org/officeDocument/2006/relationships/hyperlink" Target="https://www.imdb.com/title/tt0080684/" TargetMode="External" Id="rId1742"/><Relationship Type="http://schemas.openxmlformats.org/officeDocument/2006/relationships/hyperlink" Target="https://www.filmaffinity.com/es/film605090.html" TargetMode="External" Id="rId1743"/><Relationship Type="http://schemas.openxmlformats.org/officeDocument/2006/relationships/hyperlink" Target="https://letterboxd.com/film/the-empire-strikes-back/" TargetMode="External" Id="rId1744"/><Relationship Type="http://schemas.openxmlformats.org/officeDocument/2006/relationships/hyperlink" Target="https://www.imdb.com/title/tt0081398/" TargetMode="External" Id="rId1745"/><Relationship Type="http://schemas.openxmlformats.org/officeDocument/2006/relationships/hyperlink" Target="https://www.filmaffinity.com/es/film789039.html" TargetMode="External" Id="rId1746"/><Relationship Type="http://schemas.openxmlformats.org/officeDocument/2006/relationships/hyperlink" Target="https://letterboxd.com/film/raging-bull/" TargetMode="External" Id="rId1747"/><Relationship Type="http://schemas.openxmlformats.org/officeDocument/2006/relationships/hyperlink" Target="https://www.imdb.com/title/tt0079417/" TargetMode="External" Id="rId1748"/><Relationship Type="http://schemas.openxmlformats.org/officeDocument/2006/relationships/hyperlink" Target="https://www.filmaffinity.com/es/film257947.html" TargetMode="External" Id="rId1749"/><Relationship Type="http://schemas.openxmlformats.org/officeDocument/2006/relationships/hyperlink" Target="https://letterboxd.com/film/kramer-vs-kramer/" TargetMode="External" Id="rId1750"/><Relationship Type="http://schemas.openxmlformats.org/officeDocument/2006/relationships/hyperlink" Target="https://www.imdb.com/title/tt0078748/" TargetMode="External" Id="rId1751"/><Relationship Type="http://schemas.openxmlformats.org/officeDocument/2006/relationships/hyperlink" Target="https://www.filmaffinity.com/es/film708792.html" TargetMode="External" Id="rId1752"/><Relationship Type="http://schemas.openxmlformats.org/officeDocument/2006/relationships/hyperlink" Target="https://letterboxd.com/film/alien/" TargetMode="External" Id="rId1753"/><Relationship Type="http://schemas.openxmlformats.org/officeDocument/2006/relationships/hyperlink" Target="https://www.imdb.com/title/tt0078788/" TargetMode="External" Id="rId1754"/><Relationship Type="http://schemas.openxmlformats.org/officeDocument/2006/relationships/hyperlink" Target="https://www.filmaffinity.com/es/film701892.html" TargetMode="External" Id="rId1755"/><Relationship Type="http://schemas.openxmlformats.org/officeDocument/2006/relationships/hyperlink" Target="https://letterboxd.com/film/apocalypse-now/" TargetMode="External" Id="rId1756"/><Relationship Type="http://schemas.openxmlformats.org/officeDocument/2006/relationships/hyperlink" Target="https://www.imdb.com/title/tt0080120/" TargetMode="External" Id="rId1757"/><Relationship Type="http://schemas.openxmlformats.org/officeDocument/2006/relationships/hyperlink" Target="https://www.filmaffinity.com/es/film669609.html" TargetMode="External" Id="rId1758"/><Relationship Type="http://schemas.openxmlformats.org/officeDocument/2006/relationships/hyperlink" Target="https://letterboxd.com/film/the-warriors/" TargetMode="External" Id="rId1759"/><Relationship Type="http://schemas.openxmlformats.org/officeDocument/2006/relationships/hyperlink" Target="https://www.imdb.com/title/tt0077631/" TargetMode="External" Id="rId1760"/><Relationship Type="http://schemas.openxmlformats.org/officeDocument/2006/relationships/hyperlink" Target="https://www.filmaffinity.com/es/film442365.html" TargetMode="External" Id="rId1761"/><Relationship Type="http://schemas.openxmlformats.org/officeDocument/2006/relationships/hyperlink" Target="https://letterboxd.com/film/grease/" TargetMode="External" Id="rId1762"/><Relationship Type="http://schemas.openxmlformats.org/officeDocument/2006/relationships/hyperlink" Target="https://www.imdb.com/title/tt0076759/" TargetMode="External" Id="rId1763"/><Relationship Type="http://schemas.openxmlformats.org/officeDocument/2006/relationships/hyperlink" Target="https://www.filmaffinity.com/es/film712041.html" TargetMode="External" Id="rId1764"/><Relationship Type="http://schemas.openxmlformats.org/officeDocument/2006/relationships/hyperlink" Target="https://letterboxd.com/film/star-wars/" TargetMode="External" Id="rId1765"/><Relationship Type="http://schemas.openxmlformats.org/officeDocument/2006/relationships/hyperlink" Target="https://www.imdb.com/title/tt0076666/" TargetMode="External" Id="rId1766"/><Relationship Type="http://schemas.openxmlformats.org/officeDocument/2006/relationships/hyperlink" Target="https://www.filmaffinity.com/es/film912221.html" TargetMode="External" Id="rId1767"/><Relationship Type="http://schemas.openxmlformats.org/officeDocument/2006/relationships/hyperlink" Target="https://letterboxd.com/film/saturday-night-fever/" TargetMode="External" Id="rId1768"/><Relationship Type="http://schemas.openxmlformats.org/officeDocument/2006/relationships/hyperlink" Target="https://www.imdb.com/title/tt0075314/" TargetMode="External" Id="rId1769"/><Relationship Type="http://schemas.openxmlformats.org/officeDocument/2006/relationships/hyperlink" Target="https://www.filmaffinity.com/es/film396074.html" TargetMode="External" Id="rId1770"/><Relationship Type="http://schemas.openxmlformats.org/officeDocument/2006/relationships/hyperlink" Target="https://letterboxd.com/film/taxi-driver/" TargetMode="External" Id="rId1771"/><Relationship Type="http://schemas.openxmlformats.org/officeDocument/2006/relationships/hyperlink" Target="https://www.imdb.com/title/tt0075462/" TargetMode="External" Id="rId1772"/><Relationship Type="http://schemas.openxmlformats.org/officeDocument/2006/relationships/hyperlink" Target="https://www.filmaffinity.com/es/film294646.html" TargetMode="External" Id="rId1773"/><Relationship Type="http://schemas.openxmlformats.org/officeDocument/2006/relationships/hyperlink" Target="https://letterboxd.com/film/who-can-kill-a-child/" TargetMode="External" Id="rId1774"/><Relationship Type="http://schemas.openxmlformats.org/officeDocument/2006/relationships/hyperlink" Target="https://www.imdb.com/title/tt0075148/" TargetMode="External" Id="rId1775"/><Relationship Type="http://schemas.openxmlformats.org/officeDocument/2006/relationships/hyperlink" Target="https://www.filmaffinity.com/es/film192554.html" TargetMode="External" Id="rId1776"/><Relationship Type="http://schemas.openxmlformats.org/officeDocument/2006/relationships/hyperlink" Target="https://letterboxd.com/film/rocky/" TargetMode="External" Id="rId1777"/><Relationship Type="http://schemas.openxmlformats.org/officeDocument/2006/relationships/hyperlink" Target="https://www.imdb.com/title/tt0074285/" TargetMode="External" Id="rId1778"/><Relationship Type="http://schemas.openxmlformats.org/officeDocument/2006/relationships/hyperlink" Target="https://www.filmaffinity.com/es/film283316.html" TargetMode="External" Id="rId1779"/><Relationship Type="http://schemas.openxmlformats.org/officeDocument/2006/relationships/hyperlink" Target="https://letterboxd.com/film/carrie-1976/" TargetMode="External" Id="rId1780"/><Relationship Type="http://schemas.openxmlformats.org/officeDocument/2006/relationships/hyperlink" Target="https://www.imdb.com/title/tt0073195/" TargetMode="External" Id="rId1781"/><Relationship Type="http://schemas.openxmlformats.org/officeDocument/2006/relationships/hyperlink" Target="https://www.filmaffinity.com/es/film242422.html" TargetMode="External" Id="rId1782"/><Relationship Type="http://schemas.openxmlformats.org/officeDocument/2006/relationships/hyperlink" Target="https://letterboxd.com/film/jaws/" TargetMode="External" Id="rId1783"/><Relationship Type="http://schemas.openxmlformats.org/officeDocument/2006/relationships/hyperlink" Target="https://www.imdb.com/title/tt0073486/" TargetMode="External" Id="rId1784"/><Relationship Type="http://schemas.openxmlformats.org/officeDocument/2006/relationships/hyperlink" Target="https://www.filmaffinity.com/es/film371621.html" TargetMode="External" Id="rId1785"/><Relationship Type="http://schemas.openxmlformats.org/officeDocument/2006/relationships/hyperlink" Target="https://letterboxd.com/film/one-flew-over-the-cuckoos-nest/" TargetMode="External" Id="rId1786"/><Relationship Type="http://schemas.openxmlformats.org/officeDocument/2006/relationships/hyperlink" Target="https://www.imdb.com/title/tt0071853/" TargetMode="External" Id="rId1787"/><Relationship Type="http://schemas.openxmlformats.org/officeDocument/2006/relationships/hyperlink" Target="https://www.filmaffinity.com/es/film386798.html" TargetMode="External" Id="rId1788"/><Relationship Type="http://schemas.openxmlformats.org/officeDocument/2006/relationships/hyperlink" Target="https://letterboxd.com/film/monty-python-and-the-holy-grail/" TargetMode="External" Id="rId1789"/><Relationship Type="http://schemas.openxmlformats.org/officeDocument/2006/relationships/hyperlink" Target="https://www.imdb.com/title/tt0071562/" TargetMode="External" Id="rId1790"/><Relationship Type="http://schemas.openxmlformats.org/officeDocument/2006/relationships/hyperlink" Target="https://www.filmaffinity.com/es/film730528.html" TargetMode="External" Id="rId1791"/><Relationship Type="http://schemas.openxmlformats.org/officeDocument/2006/relationships/hyperlink" Target="https://letterboxd.com/film/the-godfather-part-ii/" TargetMode="External" Id="rId1792"/><Relationship Type="http://schemas.openxmlformats.org/officeDocument/2006/relationships/hyperlink" Target="https://www.imdb.com/title/tt0070735/" TargetMode="External" Id="rId1793"/><Relationship Type="http://schemas.openxmlformats.org/officeDocument/2006/relationships/hyperlink" Target="https://www.filmaffinity.com/es/film385464.html" TargetMode="External" Id="rId1794"/><Relationship Type="http://schemas.openxmlformats.org/officeDocument/2006/relationships/hyperlink" Target="https://letterboxd.com/film/the-sting/" TargetMode="External" Id="rId1795"/><Relationship Type="http://schemas.openxmlformats.org/officeDocument/2006/relationships/hyperlink" Target="https://www.imdb.com/title/tt0070047/" TargetMode="External" Id="rId1796"/><Relationship Type="http://schemas.openxmlformats.org/officeDocument/2006/relationships/hyperlink" Target="https://www.filmaffinity.com/es/film519065.html" TargetMode="External" Id="rId1797"/><Relationship Type="http://schemas.openxmlformats.org/officeDocument/2006/relationships/hyperlink" Target="https://letterboxd.com/film/the-exorcist/" TargetMode="External" Id="rId1798"/><Relationship Type="http://schemas.openxmlformats.org/officeDocument/2006/relationships/hyperlink" Target="https://www.imdb.com/title/tt0068646/" TargetMode="External" Id="rId1799"/><Relationship Type="http://schemas.openxmlformats.org/officeDocument/2006/relationships/hyperlink" Target="https://www.filmaffinity.com/es/film809297.html" TargetMode="External" Id="rId1800"/><Relationship Type="http://schemas.openxmlformats.org/officeDocument/2006/relationships/hyperlink" Target="https://letterboxd.com/film/the-godfather/" TargetMode="External" Id="rId1801"/><Relationship Type="http://schemas.openxmlformats.org/officeDocument/2006/relationships/hyperlink" Target="https://www.imdb.com/title/tt0066921/" TargetMode="External" Id="rId1802"/><Relationship Type="http://schemas.openxmlformats.org/officeDocument/2006/relationships/hyperlink" Target="https://www.filmaffinity.com/es/film745383.html" TargetMode="External" Id="rId1803"/><Relationship Type="http://schemas.openxmlformats.org/officeDocument/2006/relationships/hyperlink" Target="https://letterboxd.com/film/a-clockwork-orange/" TargetMode="External" Id="rId1804"/><Relationship Type="http://schemas.openxmlformats.org/officeDocument/2006/relationships/hyperlink" Target="https://www.imdb.com/title/tt0062376/" TargetMode="External" Id="rId1805"/><Relationship Type="http://schemas.openxmlformats.org/officeDocument/2006/relationships/hyperlink" Target="https://www.filmaffinity.com/es/film229570.html" TargetMode="External" Id="rId1806"/><Relationship Type="http://schemas.openxmlformats.org/officeDocument/2006/relationships/hyperlink" Target="https://letterboxd.com/film/to-sir-with-love/" TargetMode="External" Id="rId1807"/><Relationship Type="http://schemas.openxmlformats.org/officeDocument/2006/relationships/hyperlink" Target="https://www.imdb.com/title/tt0060196/" TargetMode="External" Id="rId1808"/><Relationship Type="http://schemas.openxmlformats.org/officeDocument/2006/relationships/hyperlink" Target="https://www.filmaffinity.com/es/film277815.html" TargetMode="External" Id="rId1809"/><Relationship Type="http://schemas.openxmlformats.org/officeDocument/2006/relationships/hyperlink" Target="https://letterboxd.com/film/the-good-the-bad-and-the-ugly/" TargetMode="External" Id="rId1810"/><Relationship Type="http://schemas.openxmlformats.org/officeDocument/2006/relationships/hyperlink" Target="https://www.imdb.com/title/tt0054215/" TargetMode="External" Id="rId1811"/><Relationship Type="http://schemas.openxmlformats.org/officeDocument/2006/relationships/hyperlink" Target="https://www.filmaffinity.com/es/film363992.html" TargetMode="External" Id="rId1812"/><Relationship Type="http://schemas.openxmlformats.org/officeDocument/2006/relationships/hyperlink" Target="https://letterboxd.com/film/psycho/" TargetMode="External" Id="rId1813"/><Relationship Type="http://schemas.openxmlformats.org/officeDocument/2006/relationships/hyperlink" Target="https://www.imdb.com/title/tt0050083/" TargetMode="External" Id="rId1814"/><Relationship Type="http://schemas.openxmlformats.org/officeDocument/2006/relationships/hyperlink" Target="https://www.filmaffinity.com/es/film695552.html" TargetMode="External" Id="rId1815"/><Relationship Type="http://schemas.openxmlformats.org/officeDocument/2006/relationships/hyperlink" Target="https://letterboxd.com/film/12-angry-men/" TargetMode="External" Id="rId1816"/><Relationship Type="http://schemas.openxmlformats.org/officeDocument/2006/relationships/hyperlink" Target="https://www.imdb.com/title/tt0046183/" TargetMode="External" Id="rId1817"/><Relationship Type="http://schemas.openxmlformats.org/officeDocument/2006/relationships/hyperlink" Target="https://www.filmaffinity.com/es/film862995.html" TargetMode="External" Id="rId1818"/><Relationship Type="http://schemas.openxmlformats.org/officeDocument/2006/relationships/hyperlink" Target="https://letterboxd.com/film/peter-pan/" TargetMode="External" Id="rId1819"/><Relationship Type="http://schemas.openxmlformats.org/officeDocument/2006/relationships/hyperlink" Target="https://www.imdb.com/title/tt0042189/" TargetMode="External" Id="rId1820"/><Relationship Type="http://schemas.openxmlformats.org/officeDocument/2006/relationships/hyperlink" Target="https://www.filmaffinity.com/es/film495925.html" TargetMode="External" Id="rId1821"/><Relationship Type="http://schemas.openxmlformats.org/officeDocument/2006/relationships/hyperlink" Target="https://letterboxd.com/film/alice-in-wonderland-1949/" TargetMode="External" Id="rId1822"/><Relationship Type="http://schemas.openxmlformats.org/officeDocument/2006/relationships/hyperlink" Target="https://www.imdb.com/title/tt0042332/" TargetMode="External" Id="rId1823"/><Relationship Type="http://schemas.openxmlformats.org/officeDocument/2006/relationships/hyperlink" Target="https://www.filmaffinity.com/es/film807711.html" TargetMode="External" Id="rId1824"/><Relationship Type="http://schemas.openxmlformats.org/officeDocument/2006/relationships/hyperlink" Target="https://letterboxd.com/film/cinderella/" TargetMode="External" Id="rId1825"/><Relationship Type="http://schemas.openxmlformats.org/officeDocument/2006/relationships/hyperlink" Target="https://www.imdb.com/title/tt0041959/" TargetMode="External" Id="rId1826"/><Relationship Type="http://schemas.openxmlformats.org/officeDocument/2006/relationships/hyperlink" Target="https://www.filmaffinity.com/es/film357391.html" TargetMode="External" Id="rId1827"/><Relationship Type="http://schemas.openxmlformats.org/officeDocument/2006/relationships/hyperlink" Target="https://letterboxd.com/film/the-third-man/" TargetMode="External" Id="rId1828"/><Relationship Type="http://schemas.openxmlformats.org/officeDocument/2006/relationships/hyperlink" Target="https://www.imdb.com/title/tt0034583/" TargetMode="External" Id="rId1829"/><Relationship Type="http://schemas.openxmlformats.org/officeDocument/2006/relationships/hyperlink" Target="https://www.filmaffinity.com/es/film165208.html" TargetMode="External" Id="rId1830"/><Relationship Type="http://schemas.openxmlformats.org/officeDocument/2006/relationships/hyperlink" Target="https://letterboxd.com/film/casablanca/" TargetMode="External" Id="rId1831"/><Relationship Type="http://schemas.openxmlformats.org/officeDocument/2006/relationships/hyperlink" Target="https://www.imdb.com/title/tt0032904/" TargetMode="External" Id="rId1832"/><Relationship Type="http://schemas.openxmlformats.org/officeDocument/2006/relationships/hyperlink" Target="https://www.filmaffinity.com/es/film567410.html" TargetMode="External" Id="rId1833"/><Relationship Type="http://schemas.openxmlformats.org/officeDocument/2006/relationships/hyperlink" Target="https://letterboxd.com/film/the-philadelphia-story/" TargetMode="External" Id="rId1834"/><Relationship Type="http://schemas.openxmlformats.org/officeDocument/2006/relationships/hyperlink" Target="https://www.imdb.com/title/tt0032910/" TargetMode="External" Id="rId1835"/><Relationship Type="http://schemas.openxmlformats.org/officeDocument/2006/relationships/hyperlink" Target="https://www.filmaffinity.com/es/film878559.html" TargetMode="External" Id="rId1836"/><Relationship Type="http://schemas.openxmlformats.org/officeDocument/2006/relationships/hyperlink" Target="https://letterboxd.com/film/pinocchio/" TargetMode="External" Id="rId1837"/><Relationship Type="http://schemas.openxmlformats.org/officeDocument/2006/relationships/hyperlink" Target="https://www.imdb.com/title/tt0029583/" TargetMode="External" Id="rId1838"/><Relationship Type="http://schemas.openxmlformats.org/officeDocument/2006/relationships/hyperlink" Target="https://www.filmaffinity.com/es/film991538.html" TargetMode="External" Id="rId1839"/><Relationship Type="http://schemas.openxmlformats.org/officeDocument/2006/relationships/hyperlink" Target="https://letterboxd.com/film/snow-white-and-the-seven-dwarfs/" TargetMode="External" Id="rId1840"/><Relationship Type="http://schemas.openxmlformats.org/officeDocument/2006/relationships/table" Target="/xl/tables/table2.xml" Id="rId184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8" customWidth="1" min="4" max="4"/>
    <col width="26" customWidth="1" min="5" max="5"/>
    <col width="16" customWidth="1" min="6" max="6"/>
    <col width="24" customWidth="1" min="7" max="7"/>
    <col width="24" customWidth="1" min="8" max="8"/>
    <col width="12" customWidth="1" min="9" max="9"/>
    <col width="40" customWidth="1" min="10" max="10"/>
  </cols>
  <sheetData>
    <row r="1">
      <c r="A1" s="1" t="inlineStr">
        <is>
          <t>Añade aquí las películas que veas</t>
        </is>
      </c>
    </row>
    <row r="2" ht="32" customHeight="1">
      <c r="A2" s="2" t="inlineStr">
        <is>
          <t>Escribe una fila por película (como en tu Excel de siempre), guarda y cierra. La app las pasa a tu colección, completa director, país, géneros y póster si los dejas vacíos, y vacía esta hoja.</t>
        </is>
      </c>
    </row>
    <row r="4" ht="22" customHeight="1">
      <c r="A4" s="3" t="inlineStr">
        <is>
          <t>Año</t>
        </is>
      </c>
      <c r="B4" s="3" t="inlineStr">
        <is>
          <t>Duración</t>
        </is>
      </c>
      <c r="C4" s="3" t="inlineStr">
        <is>
          <t>Nota</t>
        </is>
      </c>
      <c r="D4" s="3" t="inlineStr">
        <is>
          <t>Título</t>
        </is>
      </c>
      <c r="E4" s="3" t="inlineStr">
        <is>
          <t>Director</t>
        </is>
      </c>
      <c r="F4" s="3" t="inlineStr">
        <is>
          <t>País</t>
        </is>
      </c>
      <c r="G4" s="3" t="inlineStr">
        <is>
          <t>Géneros</t>
        </is>
      </c>
      <c r="H4" s="3" t="inlineStr">
        <is>
          <t>Dónde</t>
        </is>
      </c>
      <c r="I4" s="3" t="inlineStr">
        <is>
          <t>Visto el</t>
        </is>
      </c>
      <c r="J4" s="3" t="inlineStr">
        <is>
          <t>Reseña</t>
        </is>
      </c>
    </row>
    <row r="5">
      <c r="A5" s="4" t="n"/>
      <c r="B5" s="4" t="n"/>
      <c r="C5" s="5" t="n"/>
      <c r="I5" s="6" t="n"/>
    </row>
    <row r="6">
      <c r="A6" s="4" t="n"/>
      <c r="B6" s="4" t="n"/>
      <c r="C6" s="5" t="n"/>
      <c r="I6" s="6" t="n"/>
    </row>
    <row r="7">
      <c r="A7" s="4" t="n"/>
      <c r="B7" s="4" t="n"/>
      <c r="C7" s="5" t="n"/>
      <c r="I7" s="6" t="n"/>
    </row>
    <row r="8">
      <c r="A8" s="4" t="n"/>
      <c r="B8" s="4" t="n"/>
      <c r="C8" s="5" t="n"/>
      <c r="I8" s="6" t="n"/>
    </row>
    <row r="9">
      <c r="A9" s="4" t="n"/>
      <c r="B9" s="4" t="n"/>
      <c r="C9" s="5" t="n"/>
      <c r="I9" s="6" t="n"/>
    </row>
    <row r="10">
      <c r="A10" s="4" t="n"/>
      <c r="B10" s="4" t="n"/>
      <c r="C10" s="5" t="n"/>
      <c r="I10" s="6" t="n"/>
    </row>
    <row r="11">
      <c r="A11" s="4" t="n"/>
      <c r="B11" s="4" t="n"/>
      <c r="C11" s="5" t="n"/>
      <c r="I11" s="6" t="n"/>
    </row>
    <row r="12">
      <c r="A12" s="4" t="n"/>
      <c r="B12" s="4" t="n"/>
      <c r="C12" s="5" t="n"/>
      <c r="I12" s="6" t="n"/>
    </row>
    <row r="13">
      <c r="A13" s="4" t="n"/>
      <c r="B13" s="4" t="n"/>
      <c r="C13" s="5" t="n"/>
      <c r="I13" s="6" t="n"/>
    </row>
    <row r="14">
      <c r="A14" s="4" t="n"/>
      <c r="B14" s="4" t="n"/>
      <c r="C14" s="5" t="n"/>
      <c r="I14" s="6" t="n"/>
    </row>
    <row r="15">
      <c r="A15" s="4" t="n"/>
      <c r="B15" s="4" t="n"/>
      <c r="C15" s="5" t="n"/>
      <c r="I15" s="6" t="n"/>
    </row>
    <row r="16">
      <c r="A16" s="4" t="n"/>
      <c r="B16" s="4" t="n"/>
      <c r="C16" s="5" t="n"/>
      <c r="I16" s="6" t="n"/>
    </row>
    <row r="17">
      <c r="A17" s="4" t="n"/>
      <c r="B17" s="4" t="n"/>
      <c r="C17" s="5" t="n"/>
      <c r="I17" s="6" t="n"/>
    </row>
    <row r="18">
      <c r="A18" s="4" t="n"/>
      <c r="B18" s="4" t="n"/>
      <c r="C18" s="5" t="n"/>
      <c r="I18" s="6" t="n"/>
    </row>
    <row r="19">
      <c r="A19" s="4" t="n"/>
      <c r="B19" s="4" t="n"/>
      <c r="C19" s="5" t="n"/>
      <c r="I19" s="6" t="n"/>
    </row>
    <row r="20">
      <c r="A20" s="4" t="n"/>
      <c r="B20" s="4" t="n"/>
      <c r="C20" s="5" t="n"/>
      <c r="I20" s="6" t="n"/>
    </row>
    <row r="21">
      <c r="A21" s="4" t="n"/>
      <c r="B21" s="4" t="n"/>
      <c r="C21" s="5" t="n"/>
      <c r="I21" s="6" t="n"/>
    </row>
    <row r="22">
      <c r="A22" s="4" t="n"/>
      <c r="B22" s="4" t="n"/>
      <c r="C22" s="5" t="n"/>
      <c r="I22" s="6" t="n"/>
    </row>
    <row r="23">
      <c r="A23" s="4" t="n"/>
      <c r="B23" s="4" t="n"/>
      <c r="C23" s="5" t="n"/>
      <c r="I23" s="6" t="n"/>
    </row>
    <row r="24">
      <c r="A24" s="4" t="n"/>
      <c r="B24" s="4" t="n"/>
      <c r="C24" s="5" t="n"/>
      <c r="I24" s="6" t="n"/>
    </row>
    <row r="25">
      <c r="A25" s="4" t="n"/>
      <c r="B25" s="4" t="n"/>
      <c r="C25" s="5" t="n"/>
      <c r="I25" s="6" t="n"/>
    </row>
    <row r="26">
      <c r="A26" s="4" t="n"/>
      <c r="B26" s="4" t="n"/>
      <c r="C26" s="5" t="n"/>
      <c r="I26" s="6" t="n"/>
    </row>
    <row r="27">
      <c r="A27" s="4" t="n"/>
      <c r="B27" s="4" t="n"/>
      <c r="C27" s="5" t="n"/>
      <c r="I27" s="6" t="n"/>
    </row>
    <row r="28">
      <c r="A28" s="4" t="n"/>
      <c r="B28" s="4" t="n"/>
      <c r="C28" s="5" t="n"/>
      <c r="I28" s="6" t="n"/>
    </row>
    <row r="29">
      <c r="A29" s="4" t="n"/>
      <c r="B29" s="4" t="n"/>
      <c r="C29" s="5" t="n"/>
      <c r="I29" s="6" t="n"/>
    </row>
  </sheetData>
  <mergeCells count="1">
    <mergeCell ref="A2:J2"/>
  </mergeCells>
  <dataValidations count="1">
    <dataValidation sqref="C5:C29" showDropDown="0" showInputMessage="0" showErrorMessage="1" allowBlank="1" errorTitle="Nota" error="La nota va de 0 a 10" type="decimal" operator="between">
      <formula1>0</formula1>
      <formula2>10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3" customWidth="1" min="5" max="5"/>
    <col width="34" customWidth="1" min="6" max="6"/>
    <col width="12" customWidth="1" min="7" max="7"/>
    <col width="12" customWidth="1" min="8" max="8"/>
    <col width="3" customWidth="1" min="9" max="9"/>
    <col width="26" customWidth="1" min="10" max="10"/>
    <col width="12" customWidth="1" min="11" max="11"/>
    <col width="12" customWidth="1" min="12" max="12"/>
    <col width="3" customWidth="1" min="13" max="13"/>
    <col width="12" customWidth="1" min="14" max="14"/>
  </cols>
  <sheetData>
    <row r="2">
      <c r="B2" s="7" t="inlineStr">
        <is>
          <t>Mi Cinemateca</t>
        </is>
      </c>
    </row>
    <row r="3">
      <c r="B3" s="8" t="inlineStr">
        <is>
          <t>Actualizado el 30/09/2026 16:37 · generado desde la app</t>
        </is>
      </c>
    </row>
    <row r="5">
      <c r="B5" s="9" t="inlineStr">
        <is>
          <t>Películas vistas</t>
        </is>
      </c>
      <c r="C5" s="10" t="n"/>
      <c r="D5" s="10" t="n"/>
      <c r="F5" s="9" t="inlineStr">
        <is>
          <t>Nota media</t>
        </is>
      </c>
      <c r="G5" s="10" t="n"/>
      <c r="H5" s="10" t="n"/>
      <c r="J5" s="9" t="inlineStr">
        <is>
          <t>Horas de cine</t>
        </is>
      </c>
      <c r="K5" s="10" t="n"/>
      <c r="L5" s="10" t="n"/>
    </row>
    <row r="6">
      <c r="B6" s="11">
        <f>COUNTA(Peliculas[Título])</f>
        <v/>
      </c>
      <c r="C6" s="10" t="n"/>
      <c r="D6" s="10" t="n"/>
      <c r="F6" s="12">
        <f>AVERAGE(Peliculas[Nota])</f>
        <v/>
      </c>
      <c r="G6" s="10" t="n"/>
      <c r="H6" s="10" t="n"/>
      <c r="J6" s="13">
        <f>SUM(Peliculas[Duración])/60</f>
        <v/>
      </c>
      <c r="K6" s="10" t="n"/>
      <c r="L6" s="10" t="n"/>
    </row>
    <row r="8">
      <c r="B8" s="9" t="inlineStr">
        <is>
          <t>Obras maestras (≥9)</t>
        </is>
      </c>
      <c r="C8" s="10" t="n"/>
      <c r="D8" s="10" t="n"/>
      <c r="F8" s="9" t="inlineStr">
        <is>
          <t>Series vistas</t>
        </is>
      </c>
      <c r="G8" s="10" t="n"/>
      <c r="H8" s="10" t="n"/>
      <c r="J8" s="9" t="inlineStr">
        <is>
          <t>Nota media series</t>
        </is>
      </c>
      <c r="K8" s="10" t="n"/>
      <c r="L8" s="10" t="n"/>
    </row>
    <row r="9">
      <c r="B9" s="11">
        <f>COUNTIF(Peliculas[Nota],"&gt;=9")</f>
        <v/>
      </c>
      <c r="C9" s="10" t="n"/>
      <c r="D9" s="10" t="n"/>
      <c r="F9" s="11">
        <f>COUNTA(Series[Título])</f>
        <v/>
      </c>
      <c r="G9" s="10" t="n"/>
      <c r="H9" s="10" t="n"/>
      <c r="J9" s="12">
        <f>AVERAGE(Series[Nota])</f>
        <v/>
      </c>
      <c r="K9" s="10" t="n"/>
      <c r="L9" s="10" t="n"/>
    </row>
    <row r="12">
      <c r="B12" s="14" t="inlineStr">
        <is>
          <t>Por género</t>
        </is>
      </c>
      <c r="F12" s="14" t="inlineStr">
        <is>
          <t>Por década</t>
        </is>
      </c>
      <c r="J12" s="14" t="inlineStr">
        <is>
          <t>Por país (top 12)</t>
        </is>
      </c>
    </row>
    <row r="13">
      <c r="B13" s="15" t="inlineStr">
        <is>
          <t>Género</t>
        </is>
      </c>
      <c r="C13" s="15" t="inlineStr">
        <is>
          <t>Películas</t>
        </is>
      </c>
      <c r="D13" s="15" t="inlineStr">
        <is>
          <t>Nota media</t>
        </is>
      </c>
      <c r="F13" s="15" t="inlineStr">
        <is>
          <t>Década</t>
        </is>
      </c>
      <c r="G13" s="15" t="inlineStr">
        <is>
          <t>Películas</t>
        </is>
      </c>
      <c r="H13" s="15" t="inlineStr">
        <is>
          <t>Nota media</t>
        </is>
      </c>
      <c r="J13" s="15" t="inlineStr">
        <is>
          <t>País</t>
        </is>
      </c>
      <c r="K13" s="15" t="inlineStr">
        <is>
          <t>Películas</t>
        </is>
      </c>
      <c r="L13" s="15" t="inlineStr">
        <is>
          <t>Nota media</t>
        </is>
      </c>
    </row>
    <row r="14">
      <c r="B14" s="16" t="inlineStr">
        <is>
          <t>Comedia</t>
        </is>
      </c>
      <c r="C14" s="17">
        <f>COUNTIF(Peliculas[Géneros],"*"&amp;B14&amp;"*")</f>
        <v/>
      </c>
      <c r="D14" s="18">
        <f>IFERROR(AVERAGEIF(Peliculas[Géneros],"*"&amp;B14&amp;"*",Peliculas[Nota]),"")</f>
        <v/>
      </c>
      <c r="F14" s="19" t="n">
        <v>2020</v>
      </c>
      <c r="G14" s="17">
        <f>COUNTIF(Peliculas[Década],F14)</f>
        <v/>
      </c>
      <c r="H14" s="18">
        <f>IFERROR(AVERAGEIF(Peliculas[Década],F14,Peliculas[Nota]),"")</f>
        <v/>
      </c>
      <c r="J14" s="16" t="inlineStr">
        <is>
          <t>Estados Unidos</t>
        </is>
      </c>
      <c r="K14" s="17">
        <f>COUNTIF(Peliculas[País],J14)</f>
        <v/>
      </c>
      <c r="L14" s="18">
        <f>IFERROR(AVERAGEIF(Peliculas[País],J14,Peliculas[Nota]),"")</f>
        <v/>
      </c>
    </row>
    <row r="15">
      <c r="B15" s="16" t="inlineStr">
        <is>
          <t>Drama</t>
        </is>
      </c>
      <c r="C15" s="17">
        <f>COUNTIF(Peliculas[Géneros],"*"&amp;B15&amp;"*")</f>
        <v/>
      </c>
      <c r="D15" s="18">
        <f>IFERROR(AVERAGEIF(Peliculas[Géneros],"*"&amp;B15&amp;"*",Peliculas[Nota]),"")</f>
        <v/>
      </c>
      <c r="F15" s="19" t="n">
        <v>2010</v>
      </c>
      <c r="G15" s="17">
        <f>COUNTIF(Peliculas[Década],F15)</f>
        <v/>
      </c>
      <c r="H15" s="18">
        <f>IFERROR(AVERAGEIF(Peliculas[Década],F15,Peliculas[Nota]),"")</f>
        <v/>
      </c>
      <c r="J15" s="16" t="inlineStr">
        <is>
          <t>España</t>
        </is>
      </c>
      <c r="K15" s="17">
        <f>COUNTIF(Peliculas[País],J15)</f>
        <v/>
      </c>
      <c r="L15" s="18">
        <f>IFERROR(AVERAGEIF(Peliculas[País],J15,Peliculas[Nota]),"")</f>
        <v/>
      </c>
    </row>
    <row r="16">
      <c r="B16" s="16" t="inlineStr">
        <is>
          <t>Acción</t>
        </is>
      </c>
      <c r="C16" s="17">
        <f>COUNTIF(Peliculas[Géneros],"*"&amp;B16&amp;"*")</f>
        <v/>
      </c>
      <c r="D16" s="18">
        <f>IFERROR(AVERAGEIF(Peliculas[Géneros],"*"&amp;B16&amp;"*",Peliculas[Nota]),"")</f>
        <v/>
      </c>
      <c r="F16" s="19" t="n">
        <v>2000</v>
      </c>
      <c r="G16" s="17">
        <f>COUNTIF(Peliculas[Década],F16)</f>
        <v/>
      </c>
      <c r="H16" s="18">
        <f>IFERROR(AVERAGEIF(Peliculas[Década],F16,Peliculas[Nota]),"")</f>
        <v/>
      </c>
      <c r="J16" s="16" t="inlineStr">
        <is>
          <t>Japón</t>
        </is>
      </c>
      <c r="K16" s="17">
        <f>COUNTIF(Peliculas[País],J16)</f>
        <v/>
      </c>
      <c r="L16" s="18">
        <f>IFERROR(AVERAGEIF(Peliculas[País],J16,Peliculas[Nota]),"")</f>
        <v/>
      </c>
    </row>
    <row r="17">
      <c r="B17" s="16" t="inlineStr">
        <is>
          <t>Terror</t>
        </is>
      </c>
      <c r="C17" s="17">
        <f>COUNTIF(Peliculas[Géneros],"*"&amp;B17&amp;"*")</f>
        <v/>
      </c>
      <c r="D17" s="18">
        <f>IFERROR(AVERAGEIF(Peliculas[Géneros],"*"&amp;B17&amp;"*",Peliculas[Nota]),"")</f>
        <v/>
      </c>
      <c r="F17" s="19" t="n">
        <v>1990</v>
      </c>
      <c r="G17" s="17">
        <f>COUNTIF(Peliculas[Década],F17)</f>
        <v/>
      </c>
      <c r="H17" s="18">
        <f>IFERROR(AVERAGEIF(Peliculas[Década],F17,Peliculas[Nota]),"")</f>
        <v/>
      </c>
      <c r="J17" s="16" t="inlineStr">
        <is>
          <t>Reino Unido</t>
        </is>
      </c>
      <c r="K17" s="17">
        <f>COUNTIF(Peliculas[País],J17)</f>
        <v/>
      </c>
      <c r="L17" s="18">
        <f>IFERROR(AVERAGEIF(Peliculas[País],J17,Peliculas[Nota]),"")</f>
        <v/>
      </c>
    </row>
    <row r="18">
      <c r="B18" s="16" t="inlineStr">
        <is>
          <t>Animación</t>
        </is>
      </c>
      <c r="C18" s="17">
        <f>COUNTIF(Peliculas[Géneros],"*"&amp;B18&amp;"*")</f>
        <v/>
      </c>
      <c r="D18" s="18">
        <f>IFERROR(AVERAGEIF(Peliculas[Géneros],"*"&amp;B18&amp;"*",Peliculas[Nota]),"")</f>
        <v/>
      </c>
      <c r="F18" s="19" t="n">
        <v>1980</v>
      </c>
      <c r="G18" s="17">
        <f>COUNTIF(Peliculas[Década],F18)</f>
        <v/>
      </c>
      <c r="H18" s="18">
        <f>IFERROR(AVERAGEIF(Peliculas[Década],F18,Peliculas[Nota]),"")</f>
        <v/>
      </c>
      <c r="J18" s="16" t="inlineStr">
        <is>
          <t>Francia</t>
        </is>
      </c>
      <c r="K18" s="17">
        <f>COUNTIF(Peliculas[País],J18)</f>
        <v/>
      </c>
      <c r="L18" s="18">
        <f>IFERROR(AVERAGEIF(Peliculas[País],J18,Peliculas[Nota]),"")</f>
        <v/>
      </c>
    </row>
    <row r="19">
      <c r="B19" s="16" t="inlineStr">
        <is>
          <t>Thriller</t>
        </is>
      </c>
      <c r="C19" s="17">
        <f>COUNTIF(Peliculas[Géneros],"*"&amp;B19&amp;"*")</f>
        <v/>
      </c>
      <c r="D19" s="18">
        <f>IFERROR(AVERAGEIF(Peliculas[Géneros],"*"&amp;B19&amp;"*",Peliculas[Nota]),"")</f>
        <v/>
      </c>
      <c r="F19" s="19" t="n">
        <v>1970</v>
      </c>
      <c r="G19" s="17">
        <f>COUNTIF(Peliculas[Década],F19)</f>
        <v/>
      </c>
      <c r="H19" s="18">
        <f>IFERROR(AVERAGEIF(Peliculas[Década],F19,Peliculas[Nota]),"")</f>
        <v/>
      </c>
      <c r="J19" s="16" t="inlineStr">
        <is>
          <t>Alemania</t>
        </is>
      </c>
      <c r="K19" s="17">
        <f>COUNTIF(Peliculas[País],J19)</f>
        <v/>
      </c>
      <c r="L19" s="18">
        <f>IFERROR(AVERAGEIF(Peliculas[País],J19,Peliculas[Nota]),"")</f>
        <v/>
      </c>
    </row>
    <row r="20">
      <c r="B20" s="16" t="inlineStr">
        <is>
          <t>Ciencia ficción</t>
        </is>
      </c>
      <c r="C20" s="17">
        <f>COUNTIF(Peliculas[Géneros],"*"&amp;B20&amp;"*")</f>
        <v/>
      </c>
      <c r="D20" s="18">
        <f>IFERROR(AVERAGEIF(Peliculas[Géneros],"*"&amp;B20&amp;"*",Peliculas[Nota]),"")</f>
        <v/>
      </c>
      <c r="F20" s="19" t="n">
        <v>1960</v>
      </c>
      <c r="G20" s="17">
        <f>COUNTIF(Peliculas[Década],F20)</f>
        <v/>
      </c>
      <c r="H20" s="18">
        <f>IFERROR(AVERAGEIF(Peliculas[Década],F20,Peliculas[Nota]),"")</f>
        <v/>
      </c>
      <c r="J20" s="16" t="inlineStr">
        <is>
          <t>Nueva Zelanda</t>
        </is>
      </c>
      <c r="K20" s="17">
        <f>COUNTIF(Peliculas[País],J20)</f>
        <v/>
      </c>
      <c r="L20" s="18">
        <f>IFERROR(AVERAGEIF(Peliculas[País],J20,Peliculas[Nota]),"")</f>
        <v/>
      </c>
    </row>
    <row r="21">
      <c r="B21" s="16" t="inlineStr">
        <is>
          <t>Aventura</t>
        </is>
      </c>
      <c r="C21" s="17">
        <f>COUNTIF(Peliculas[Géneros],"*"&amp;B21&amp;"*")</f>
        <v/>
      </c>
      <c r="D21" s="18">
        <f>IFERROR(AVERAGEIF(Peliculas[Géneros],"*"&amp;B21&amp;"*",Peliculas[Nota]),"")</f>
        <v/>
      </c>
      <c r="F21" s="19" t="n">
        <v>1950</v>
      </c>
      <c r="G21" s="17">
        <f>COUNTIF(Peliculas[Década],F21)</f>
        <v/>
      </c>
      <c r="H21" s="18">
        <f>IFERROR(AVERAGEIF(Peliculas[Década],F21,Peliculas[Nota]),"")</f>
        <v/>
      </c>
      <c r="J21" s="16" t="inlineStr">
        <is>
          <t>Dinamarca</t>
        </is>
      </c>
      <c r="K21" s="17">
        <f>COUNTIF(Peliculas[País],J21)</f>
        <v/>
      </c>
      <c r="L21" s="18">
        <f>IFERROR(AVERAGEIF(Peliculas[País],J21,Peliculas[Nota]),"")</f>
        <v/>
      </c>
    </row>
    <row r="22">
      <c r="B22" s="16" t="inlineStr">
        <is>
          <t>Familiar</t>
        </is>
      </c>
      <c r="C22" s="17">
        <f>COUNTIF(Peliculas[Géneros],"*"&amp;B22&amp;"*")</f>
        <v/>
      </c>
      <c r="D22" s="18">
        <f>IFERROR(AVERAGEIF(Peliculas[Géneros],"*"&amp;B22&amp;"*",Peliculas[Nota]),"")</f>
        <v/>
      </c>
      <c r="F22" s="19" t="n">
        <v>1940</v>
      </c>
      <c r="G22" s="17">
        <f>COUNTIF(Peliculas[Década],F22)</f>
        <v/>
      </c>
      <c r="H22" s="18">
        <f>IFERROR(AVERAGEIF(Peliculas[Década],F22,Peliculas[Nota]),"")</f>
        <v/>
      </c>
      <c r="J22" s="16" t="inlineStr">
        <is>
          <t>Polonia</t>
        </is>
      </c>
      <c r="K22" s="17">
        <f>COUNTIF(Peliculas[País],J22)</f>
        <v/>
      </c>
      <c r="L22" s="18">
        <f>IFERROR(AVERAGEIF(Peliculas[País],J22,Peliculas[Nota]),"")</f>
        <v/>
      </c>
    </row>
    <row r="23">
      <c r="B23" s="16" t="inlineStr">
        <is>
          <t>Fantasía</t>
        </is>
      </c>
      <c r="C23" s="17">
        <f>COUNTIF(Peliculas[Géneros],"*"&amp;B23&amp;"*")</f>
        <v/>
      </c>
      <c r="D23" s="18">
        <f>IFERROR(AVERAGEIF(Peliculas[Géneros],"*"&amp;B23&amp;"*",Peliculas[Nota]),"")</f>
        <v/>
      </c>
      <c r="F23" s="19" t="n">
        <v>1930</v>
      </c>
      <c r="G23" s="17">
        <f>COUNTIF(Peliculas[Década],F23)</f>
        <v/>
      </c>
      <c r="H23" s="18">
        <f>IFERROR(AVERAGEIF(Peliculas[Década],F23,Peliculas[Nota]),"")</f>
        <v/>
      </c>
      <c r="J23" s="16" t="inlineStr">
        <is>
          <t>Irlanda</t>
        </is>
      </c>
      <c r="K23" s="17">
        <f>COUNTIF(Peliculas[País],J23)</f>
        <v/>
      </c>
      <c r="L23" s="18">
        <f>IFERROR(AVERAGEIF(Peliculas[País],J23,Peliculas[Nota]),"")</f>
        <v/>
      </c>
    </row>
    <row r="24">
      <c r="B24" s="16" t="inlineStr">
        <is>
          <t>Superhéroes</t>
        </is>
      </c>
      <c r="C24" s="17">
        <f>COUNTIF(Peliculas[Géneros],"*"&amp;B24&amp;"*")</f>
        <v/>
      </c>
      <c r="D24" s="18">
        <f>IFERROR(AVERAGEIF(Peliculas[Géneros],"*"&amp;B24&amp;"*",Peliculas[Nota]),"")</f>
        <v/>
      </c>
      <c r="J24" s="16" t="inlineStr">
        <is>
          <t>Australia</t>
        </is>
      </c>
      <c r="K24" s="17">
        <f>COUNTIF(Peliculas[País],J24)</f>
        <v/>
      </c>
      <c r="L24" s="18">
        <f>IFERROR(AVERAGEIF(Peliculas[País],J24,Peliculas[Nota]),"")</f>
        <v/>
      </c>
    </row>
    <row r="25">
      <c r="B25" s="16" t="inlineStr">
        <is>
          <t>Crimen</t>
        </is>
      </c>
      <c r="C25" s="17">
        <f>COUNTIF(Peliculas[Géneros],"*"&amp;B25&amp;"*")</f>
        <v/>
      </c>
      <c r="D25" s="18">
        <f>IFERROR(AVERAGEIF(Peliculas[Géneros],"*"&amp;B25&amp;"*",Peliculas[Nota]),"")</f>
        <v/>
      </c>
      <c r="J25" s="16" t="inlineStr">
        <is>
          <t>Corea del Sur</t>
        </is>
      </c>
      <c r="K25" s="17">
        <f>COUNTIF(Peliculas[País],J25)</f>
        <v/>
      </c>
      <c r="L25" s="18">
        <f>IFERROR(AVERAGEIF(Peliculas[País],J25,Peliculas[Nota]),"")</f>
        <v/>
      </c>
    </row>
    <row r="26">
      <c r="B26" s="16" t="inlineStr">
        <is>
          <t>Romance</t>
        </is>
      </c>
      <c r="C26" s="17">
        <f>COUNTIF(Peliculas[Géneros],"*"&amp;B26&amp;"*")</f>
        <v/>
      </c>
      <c r="D26" s="18">
        <f>IFERROR(AVERAGEIF(Peliculas[Géneros],"*"&amp;B26&amp;"*",Peliculas[Nota]),"")</f>
        <v/>
      </c>
    </row>
    <row r="27">
      <c r="B27" s="16" t="inlineStr">
        <is>
          <t>Misterio</t>
        </is>
      </c>
      <c r="C27" s="17">
        <f>COUNTIF(Peliculas[Géneros],"*"&amp;B27&amp;"*")</f>
        <v/>
      </c>
      <c r="D27" s="18">
        <f>IFERROR(AVERAGEIF(Peliculas[Géneros],"*"&amp;B27&amp;"*",Peliculas[Nota]),"")</f>
        <v/>
      </c>
    </row>
    <row r="28">
      <c r="B28" s="16" t="inlineStr">
        <is>
          <t>Musical</t>
        </is>
      </c>
      <c r="C28" s="17">
        <f>COUNTIF(Peliculas[Géneros],"*"&amp;B28&amp;"*")</f>
        <v/>
      </c>
      <c r="D28" s="18">
        <f>IFERROR(AVERAGEIF(Peliculas[Géneros],"*"&amp;B28&amp;"*",Peliculas[Nota]),"")</f>
        <v/>
      </c>
    </row>
    <row r="29">
      <c r="B29" s="16" t="inlineStr">
        <is>
          <t>Biográfico</t>
        </is>
      </c>
      <c r="C29" s="17">
        <f>COUNTIF(Peliculas[Géneros],"*"&amp;B29&amp;"*")</f>
        <v/>
      </c>
      <c r="D29" s="18">
        <f>IFERROR(AVERAGEIF(Peliculas[Géneros],"*"&amp;B29&amp;"*",Peliculas[Nota]),"")</f>
        <v/>
      </c>
    </row>
    <row r="30">
      <c r="B30" s="16" t="inlineStr">
        <is>
          <t>Bélico</t>
        </is>
      </c>
      <c r="C30" s="17">
        <f>COUNTIF(Peliculas[Géneros],"*"&amp;B30&amp;"*")</f>
        <v/>
      </c>
      <c r="D30" s="18">
        <f>IFERROR(AVERAGEIF(Peliculas[Géneros],"*"&amp;B30&amp;"*",Peliculas[Nota]),"")</f>
        <v/>
      </c>
    </row>
    <row r="31">
      <c r="B31" s="16" t="inlineStr">
        <is>
          <t>Histórico</t>
        </is>
      </c>
      <c r="C31" s="17">
        <f>COUNTIF(Peliculas[Géneros],"*"&amp;B31&amp;"*")</f>
        <v/>
      </c>
      <c r="D31" s="18">
        <f>IFERROR(AVERAGEIF(Peliculas[Géneros],"*"&amp;B31&amp;"*",Peliculas[Nota]),"")</f>
        <v/>
      </c>
    </row>
    <row r="32">
      <c r="B32" s="16" t="inlineStr">
        <is>
          <t>Western</t>
        </is>
      </c>
      <c r="C32" s="17">
        <f>COUNTIF(Peliculas[Géneros],"*"&amp;B32&amp;"*")</f>
        <v/>
      </c>
      <c r="D32" s="18">
        <f>IFERROR(AVERAGEIF(Peliculas[Géneros],"*"&amp;B32&amp;"*",Peliculas[Nota]),"")</f>
        <v/>
      </c>
    </row>
    <row r="35">
      <c r="B35" s="14" t="inlineStr">
        <is>
          <t>Tus directores (mín. 3 películas)</t>
        </is>
      </c>
      <c r="F35" s="14" t="inlineStr">
        <is>
          <t>Tu top 20</t>
        </is>
      </c>
      <c r="J35" s="14" t="inlineStr">
        <is>
          <t>Distribución de notas</t>
        </is>
      </c>
    </row>
    <row r="36">
      <c r="B36" s="15" t="inlineStr">
        <is>
          <t>Director</t>
        </is>
      </c>
      <c r="C36" s="15" t="inlineStr">
        <is>
          <t>Películas</t>
        </is>
      </c>
      <c r="D36" s="15" t="inlineStr">
        <is>
          <t>Nota media</t>
        </is>
      </c>
      <c r="F36" s="15" t="inlineStr">
        <is>
          <t>Título</t>
        </is>
      </c>
      <c r="G36" s="15" t="inlineStr">
        <is>
          <t>Año</t>
        </is>
      </c>
      <c r="H36" s="15" t="inlineStr">
        <is>
          <t>Nota</t>
        </is>
      </c>
      <c r="J36" s="20" t="inlineStr">
        <is>
          <t>Rango</t>
        </is>
      </c>
      <c r="K36" s="20" t="inlineStr">
        <is>
          <t>Películas</t>
        </is>
      </c>
    </row>
    <row r="37">
      <c r="B37" s="16" t="inlineStr">
        <is>
          <t>Francis Ford Coppola</t>
        </is>
      </c>
      <c r="C37" s="17" t="n">
        <v>4</v>
      </c>
      <c r="D37" s="21" t="n">
        <v>9.300000000000001</v>
      </c>
      <c r="F37" s="16" t="inlineStr">
        <is>
          <t>El padrino</t>
        </is>
      </c>
      <c r="G37" s="17" t="n">
        <v>1972</v>
      </c>
      <c r="H37" s="18" t="n">
        <v>10</v>
      </c>
      <c r="J37" t="inlineStr">
        <is>
          <t>0–1</t>
        </is>
      </c>
      <c r="K37">
        <f>COUNTIFS(Peliculas[Nota],"&gt;=0",Peliculas[Nota],"&lt;1")</f>
        <v/>
      </c>
    </row>
    <row r="38">
      <c r="B38" s="16" t="inlineStr">
        <is>
          <t>Peter Jackson</t>
        </is>
      </c>
      <c r="C38" s="17" t="n">
        <v>3</v>
      </c>
      <c r="D38" s="21" t="n">
        <v>8.470000000000001</v>
      </c>
      <c r="F38" s="16" t="inlineStr">
        <is>
          <t>El Padrino Parte II</t>
        </is>
      </c>
      <c r="G38" s="17" t="n">
        <v>1974</v>
      </c>
      <c r="H38" s="18" t="n">
        <v>10</v>
      </c>
      <c r="J38" t="inlineStr">
        <is>
          <t>1–2</t>
        </is>
      </c>
      <c r="K38">
        <f>COUNTIFS(Peliculas[Nota],"&gt;=1",Peliculas[Nota],"&lt;2")</f>
        <v/>
      </c>
    </row>
    <row r="39">
      <c r="B39" s="16" t="inlineStr">
        <is>
          <t>Christopher Nolan</t>
        </is>
      </c>
      <c r="C39" s="17" t="n">
        <v>10</v>
      </c>
      <c r="D39" s="21" t="n">
        <v>8.41</v>
      </c>
      <c r="F39" s="16" t="inlineStr">
        <is>
          <t>Pulp Fiction</t>
        </is>
      </c>
      <c r="G39" s="17" t="n">
        <v>1994</v>
      </c>
      <c r="H39" s="18" t="n">
        <v>10</v>
      </c>
      <c r="J39" t="inlineStr">
        <is>
          <t>2–3</t>
        </is>
      </c>
      <c r="K39">
        <f>COUNTIFS(Peliculas[Nota],"&gt;=2",Peliculas[Nota],"&lt;3")</f>
        <v/>
      </c>
    </row>
    <row r="40">
      <c r="B40" s="16" t="inlineStr">
        <is>
          <t>Hayao Miyazaki</t>
        </is>
      </c>
      <c r="C40" s="17" t="n">
        <v>5</v>
      </c>
      <c r="D40" s="21" t="n">
        <v>8.300000000000001</v>
      </c>
      <c r="F40" s="16" t="inlineStr">
        <is>
          <t>Origen</t>
        </is>
      </c>
      <c r="G40" s="17" t="n">
        <v>2010</v>
      </c>
      <c r="H40" s="18" t="n">
        <v>10</v>
      </c>
      <c r="J40" t="inlineStr">
        <is>
          <t>3–4</t>
        </is>
      </c>
      <c r="K40">
        <f>COUNTIFS(Peliculas[Nota],"&gt;=3",Peliculas[Nota],"&lt;4")</f>
        <v/>
      </c>
    </row>
    <row r="41">
      <c r="B41" s="16" t="inlineStr">
        <is>
          <t>Anthony Russo</t>
        </is>
      </c>
      <c r="C41" s="17" t="n">
        <v>4</v>
      </c>
      <c r="D41" s="21" t="n">
        <v>8.15</v>
      </c>
      <c r="F41" s="16" t="inlineStr">
        <is>
          <t>La vida es bella</t>
        </is>
      </c>
      <c r="G41" s="17" t="n">
        <v>1997</v>
      </c>
      <c r="H41" s="18" t="n">
        <v>9.9</v>
      </c>
      <c r="J41" t="inlineStr">
        <is>
          <t>4–5</t>
        </is>
      </c>
      <c r="K41">
        <f>COUNTIFS(Peliculas[Nota],"&gt;=4",Peliculas[Nota],"&lt;5")</f>
        <v/>
      </c>
    </row>
    <row r="42">
      <c r="B42" s="16" t="inlineStr">
        <is>
          <t>Joe Russo</t>
        </is>
      </c>
      <c r="C42" s="17" t="n">
        <v>4</v>
      </c>
      <c r="D42" s="21" t="n">
        <v>8.15</v>
      </c>
      <c r="F42" s="16" t="inlineStr">
        <is>
          <t>Cadena Perpetua</t>
        </is>
      </c>
      <c r="G42" s="17" t="n">
        <v>1994</v>
      </c>
      <c r="H42" s="18" t="n">
        <v>9.699999999999999</v>
      </c>
      <c r="J42" t="inlineStr">
        <is>
          <t>5–6</t>
        </is>
      </c>
      <c r="K42">
        <f>COUNTIFS(Peliculas[Nota],"&gt;=5",Peliculas[Nota],"&lt;6")</f>
        <v/>
      </c>
    </row>
    <row r="43">
      <c r="B43" s="16" t="inlineStr">
        <is>
          <t>Martin Scorsese</t>
        </is>
      </c>
      <c r="C43" s="17" t="n">
        <v>7</v>
      </c>
      <c r="D43" s="21" t="n">
        <v>8.140000000000001</v>
      </c>
      <c r="F43" s="16" t="inlineStr">
        <is>
          <t>Memento</t>
        </is>
      </c>
      <c r="G43" s="17" t="n">
        <v>2000</v>
      </c>
      <c r="H43" s="18" t="n">
        <v>9.699999999999999</v>
      </c>
      <c r="J43" t="inlineStr">
        <is>
          <t>6–7</t>
        </is>
      </c>
      <c r="K43">
        <f>COUNTIFS(Peliculas[Nota],"&gt;=6",Peliculas[Nota],"&lt;7")</f>
        <v/>
      </c>
    </row>
    <row r="44">
      <c r="B44" s="16" t="inlineStr">
        <is>
          <t>Quentin Tarantino</t>
        </is>
      </c>
      <c r="C44" s="17" t="n">
        <v>7</v>
      </c>
      <c r="D44" s="21" t="n">
        <v>8.1</v>
      </c>
      <c r="F44" s="16" t="inlineStr">
        <is>
          <t>El golpe</t>
        </is>
      </c>
      <c r="G44" s="17" t="n">
        <v>1973</v>
      </c>
      <c r="H44" s="18" t="n">
        <v>9.6</v>
      </c>
      <c r="J44" t="inlineStr">
        <is>
          <t>7–8</t>
        </is>
      </c>
      <c r="K44">
        <f>COUNTIFS(Peliculas[Nota],"&gt;=7",Peliculas[Nota],"&lt;8")</f>
        <v/>
      </c>
    </row>
    <row r="45">
      <c r="B45" s="16" t="inlineStr">
        <is>
          <t>Clint Eastwood</t>
        </is>
      </c>
      <c r="C45" s="17" t="n">
        <v>3</v>
      </c>
      <c r="D45" s="21" t="n">
        <v>8.029999999999999</v>
      </c>
      <c r="F45" s="16" t="inlineStr">
        <is>
          <t>Scarface</t>
        </is>
      </c>
      <c r="G45" s="17" t="n">
        <v>1983</v>
      </c>
      <c r="H45" s="18" t="n">
        <v>9.5</v>
      </c>
      <c r="J45" t="inlineStr">
        <is>
          <t>8–9</t>
        </is>
      </c>
      <c r="K45">
        <f>COUNTIFS(Peliculas[Nota],"&gt;=8",Peliculas[Nota],"&lt;9")</f>
        <v/>
      </c>
    </row>
    <row r="46">
      <c r="B46" s="16" t="inlineStr">
        <is>
          <t>Alberto Rodríguez</t>
        </is>
      </c>
      <c r="C46" s="17" t="n">
        <v>3</v>
      </c>
      <c r="D46" s="21" t="n">
        <v>7.87</v>
      </c>
      <c r="F46" s="16" t="inlineStr">
        <is>
          <t>Forrest Gump</t>
        </is>
      </c>
      <c r="G46" s="17" t="n">
        <v>1994</v>
      </c>
      <c r="H46" s="18" t="n">
        <v>9.5</v>
      </c>
      <c r="J46" t="inlineStr">
        <is>
          <t>9–10</t>
        </is>
      </c>
      <c r="K46">
        <f>COUNTIFS(Peliculas[Nota],"&gt;=9",Peliculas[Nota],"&lt;10.01")</f>
        <v/>
      </c>
    </row>
    <row r="47">
      <c r="B47" s="16" t="inlineStr">
        <is>
          <t>George Lucas</t>
        </is>
      </c>
      <c r="C47" s="17" t="n">
        <v>6</v>
      </c>
      <c r="D47" s="21" t="n">
        <v>7.78</v>
      </c>
      <c r="F47" s="16" t="inlineStr">
        <is>
          <t>El viaje de Chihiro</t>
        </is>
      </c>
      <c r="G47" s="17" t="n">
        <v>2001</v>
      </c>
      <c r="H47" s="18" t="n">
        <v>9.5</v>
      </c>
    </row>
    <row r="48">
      <c r="B48" s="16" t="inlineStr">
        <is>
          <t>Steven Spielberg</t>
        </is>
      </c>
      <c r="C48" s="17" t="n">
        <v>8</v>
      </c>
      <c r="D48" s="21" t="n">
        <v>7.75</v>
      </c>
      <c r="F48" s="16" t="inlineStr">
        <is>
          <t>Doce Hombres sin Piedad</t>
        </is>
      </c>
      <c r="G48" s="17" t="n">
        <v>1957</v>
      </c>
      <c r="H48" s="18" t="n">
        <v>9.4</v>
      </c>
    </row>
    <row r="49">
      <c r="B49" s="16" t="inlineStr">
        <is>
          <t>David Fincher</t>
        </is>
      </c>
      <c r="C49" s="17" t="n">
        <v>5</v>
      </c>
      <c r="D49" s="21" t="n">
        <v>7.7</v>
      </c>
      <c r="F49" s="16" t="inlineStr">
        <is>
          <t>Interstellar</t>
        </is>
      </c>
      <c r="G49" s="17" t="n">
        <v>2014</v>
      </c>
      <c r="H49" s="18" t="n">
        <v>9.4</v>
      </c>
    </row>
    <row r="50">
      <c r="B50" s="16" t="inlineStr">
        <is>
          <t>Pete Docter</t>
        </is>
      </c>
      <c r="C50" s="17" t="n">
        <v>4</v>
      </c>
      <c r="D50" s="21" t="n">
        <v>7.55</v>
      </c>
      <c r="F50" s="16" t="inlineStr">
        <is>
          <t>El resplandor</t>
        </is>
      </c>
      <c r="G50" s="17" t="n">
        <v>1980</v>
      </c>
      <c r="H50" s="18" t="n">
        <v>9.300000000000001</v>
      </c>
    </row>
    <row r="51">
      <c r="B51" s="16" t="inlineStr">
        <is>
          <t>Denis Villeneuve</t>
        </is>
      </c>
      <c r="C51" s="17" t="n">
        <v>3</v>
      </c>
      <c r="D51" s="21" t="n">
        <v>7.53</v>
      </c>
      <c r="F51" s="16" t="inlineStr">
        <is>
          <t>Los Goonies</t>
        </is>
      </c>
      <c r="G51" s="17" t="n">
        <v>1985</v>
      </c>
      <c r="H51" s="18" t="n">
        <v>9.300000000000001</v>
      </c>
    </row>
    <row r="52">
      <c r="B52" s="16" t="inlineStr">
        <is>
          <t>Ridley Scott</t>
        </is>
      </c>
      <c r="C52" s="17" t="n">
        <v>3</v>
      </c>
      <c r="D52" s="21" t="n">
        <v>7.47</v>
      </c>
      <c r="F52" s="16" t="inlineStr">
        <is>
          <t>La lista de Schindler</t>
        </is>
      </c>
      <c r="G52" s="17" t="n">
        <v>1993</v>
      </c>
      <c r="H52" s="18" t="n">
        <v>9.300000000000001</v>
      </c>
    </row>
    <row r="53">
      <c r="B53" s="16" t="inlineStr">
        <is>
          <t>Alejandro Amenábar</t>
        </is>
      </c>
      <c r="C53" s="17" t="n">
        <v>3</v>
      </c>
      <c r="D53" s="21" t="n">
        <v>7.43</v>
      </c>
      <c r="F53" s="16" t="inlineStr">
        <is>
          <t>Star Wars Episodio V: El Imperio Contraataca</t>
        </is>
      </c>
      <c r="G53" s="17" t="n">
        <v>1980</v>
      </c>
      <c r="H53" s="18" t="n">
        <v>9.199999999999999</v>
      </c>
    </row>
    <row r="54">
      <c r="B54" s="16" t="inlineStr">
        <is>
          <t>Rian Johnson</t>
        </is>
      </c>
      <c r="C54" s="17" t="n">
        <v>4</v>
      </c>
      <c r="D54" s="21" t="n">
        <v>7.38</v>
      </c>
      <c r="F54" s="16" t="inlineStr">
        <is>
          <t>Rain Man</t>
        </is>
      </c>
      <c r="G54" s="17" t="n">
        <v>1988</v>
      </c>
      <c r="H54" s="18" t="n">
        <v>9.199999999999999</v>
      </c>
    </row>
    <row r="55">
      <c r="B55" s="16" t="inlineStr">
        <is>
          <t>Lee Unkrich</t>
        </is>
      </c>
      <c r="C55" s="17" t="n">
        <v>5</v>
      </c>
      <c r="D55" s="21" t="n">
        <v>7.32</v>
      </c>
      <c r="F55" s="16" t="inlineStr">
        <is>
          <t>Sospechosos Habituales</t>
        </is>
      </c>
      <c r="G55" s="17" t="n">
        <v>1995</v>
      </c>
      <c r="H55" s="18" t="n">
        <v>9.199999999999999</v>
      </c>
    </row>
    <row r="56">
      <c r="B56" s="16" t="inlineStr">
        <is>
          <t>Robert Zemeckis</t>
        </is>
      </c>
      <c r="C56" s="17" t="n">
        <v>3</v>
      </c>
      <c r="D56" s="21" t="n">
        <v>7.13</v>
      </c>
      <c r="F56" s="16" t="inlineStr">
        <is>
          <t>Star Wars Episodio IV: Una Nueva Esperanza</t>
        </is>
      </c>
      <c r="G56" s="17" t="n">
        <v>1977</v>
      </c>
      <c r="H56" s="18" t="n">
        <v>9.1</v>
      </c>
    </row>
  </sheetData>
  <conditionalFormatting sqref="D14:D32">
    <cfRule type="colorScale" priority="1">
      <colorScale>
        <cfvo type="min"/>
        <cfvo type="percentile" val="50"/>
        <cfvo type="max"/>
        <color rgb="00F8696B"/>
        <color rgb="00FFE08A"/>
        <color rgb="005DBB7A"/>
      </colorScale>
    </cfRule>
  </conditionalFormatting>
  <conditionalFormatting sqref="H14:H23">
    <cfRule type="colorScale" priority="2">
      <colorScale>
        <cfvo type="min"/>
        <cfvo type="percentile" val="50"/>
        <cfvo type="max"/>
        <color rgb="00F8696B"/>
        <color rgb="00FFE08A"/>
        <color rgb="005DBB7A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7" customWidth="1" min="4" max="4"/>
    <col width="8" customWidth="1" min="5" max="5"/>
    <col width="10" customWidth="1" min="6" max="6"/>
    <col width="7" customWidth="1" min="7" max="7"/>
    <col width="30" customWidth="1" min="8" max="8"/>
    <col width="16" customWidth="1" min="9" max="9"/>
    <col width="30" customWidth="1" min="10" max="10"/>
    <col width="22" customWidth="1" min="11" max="11"/>
    <col width="26" customWidth="1" min="12" max="12"/>
    <col width="12" customWidth="1" min="13" max="13"/>
    <col width="26" customWidth="1" min="14" max="14"/>
    <col width="9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8" customWidth="1" min="22" max="22"/>
    <col width="12" customWidth="1" min="23" max="23"/>
    <col width="11" customWidth="1" min="24" max="24"/>
  </cols>
  <sheetData>
    <row r="1" ht="22" customHeight="1">
      <c r="A1" s="3" t="inlineStr">
        <is>
          <t>ID</t>
        </is>
      </c>
      <c r="B1" s="3" t="inlineStr">
        <is>
          <t>Título</t>
        </is>
      </c>
      <c r="C1" s="3" t="inlineStr">
        <is>
          <t>Título original</t>
        </is>
      </c>
      <c r="D1" s="3" t="inlineStr">
        <is>
          <t>Año</t>
        </is>
      </c>
      <c r="E1" s="3" t="inlineStr">
        <is>
          <t>Década</t>
        </is>
      </c>
      <c r="F1" s="3" t="inlineStr">
        <is>
          <t>Duración</t>
        </is>
      </c>
      <c r="G1" s="3" t="inlineStr">
        <is>
          <t>Nota</t>
        </is>
      </c>
      <c r="H1" s="3" t="inlineStr">
        <is>
          <t>Director</t>
        </is>
      </c>
      <c r="I1" s="3" t="inlineStr">
        <is>
          <t>País</t>
        </is>
      </c>
      <c r="J1" s="3" t="inlineStr">
        <is>
          <t>Géneros</t>
        </is>
      </c>
      <c r="K1" s="3" t="inlineStr">
        <is>
          <t>Saga</t>
        </is>
      </c>
      <c r="L1" s="3" t="inlineStr">
        <is>
          <t>Fase UCM</t>
        </is>
      </c>
      <c r="M1" s="3" t="inlineStr">
        <is>
          <t>Visto el</t>
        </is>
      </c>
      <c r="N1" s="3" t="inlineStr">
        <is>
          <t>Dónde</t>
        </is>
      </c>
      <c r="O1" s="3" t="inlineStr">
        <is>
          <t>Favorita</t>
        </is>
      </c>
      <c r="P1" s="3" t="inlineStr">
        <is>
          <t>Reseña</t>
        </is>
      </c>
      <c r="Q1" s="3" t="inlineStr">
        <is>
          <t>Apertura EE.UU. ($)</t>
        </is>
      </c>
      <c r="R1" s="3" t="inlineStr">
        <is>
          <t>Taquilla EE.UU. ($)</t>
        </is>
      </c>
      <c r="S1" s="3" t="inlineStr">
        <is>
          <t>Internacional ($)</t>
        </is>
      </c>
      <c r="T1" s="3" t="inlineStr">
        <is>
          <t>Mundial ($)</t>
        </is>
      </c>
      <c r="U1" s="3" t="inlineStr">
        <is>
          <t>Presupuesto ($)</t>
        </is>
      </c>
      <c r="V1" s="3" t="inlineStr">
        <is>
          <t>IMDb</t>
        </is>
      </c>
      <c r="W1" s="3" t="inlineStr">
        <is>
          <t>FilmAffinity</t>
        </is>
      </c>
      <c r="X1" s="3" t="inlineStr">
        <is>
          <t>Letterboxd</t>
        </is>
      </c>
    </row>
    <row r="2">
      <c r="A2" t="inlineStr">
        <is>
          <t>p0001</t>
        </is>
      </c>
      <c r="B2" t="inlineStr">
        <is>
          <t>La Odisea</t>
        </is>
      </c>
      <c r="C2" t="inlineStr">
        <is>
          <t>The Odyssey</t>
        </is>
      </c>
      <c r="D2" s="4" t="n">
        <v>2026</v>
      </c>
      <c r="E2" s="4">
        <f>IF(D2="","",FLOOR(D2,10))</f>
        <v/>
      </c>
      <c r="F2" s="22" t="n">
        <v>172</v>
      </c>
      <c r="G2" s="23" t="n">
        <v>8.699999999999999</v>
      </c>
      <c r="H2" t="inlineStr">
        <is>
          <t>Christopher Nolan</t>
        </is>
      </c>
      <c r="I2" t="inlineStr">
        <is>
          <t>Reino Unido</t>
        </is>
      </c>
      <c r="J2" t="inlineStr">
        <is>
          <t>Aventura, Fantasía, Acción</t>
        </is>
      </c>
      <c r="M2" s="6" t="n"/>
      <c r="O2" s="24" t="inlineStr"/>
      <c r="Q2" s="25" t="n">
        <v>123502900</v>
      </c>
      <c r="R2" s="25" t="n">
        <v>617326355</v>
      </c>
      <c r="S2" s="25" t="n">
        <v>1134714000</v>
      </c>
      <c r="T2" s="25">
        <f>IF(AND(R2="",S2=""),"",N(R2)+N(S2))</f>
        <v/>
      </c>
      <c r="U2" s="25" t="n">
        <v>250000000</v>
      </c>
      <c r="V2" s="26" t="inlineStr">
        <is>
          <t>IMDb</t>
        </is>
      </c>
      <c r="W2" s="26" t="inlineStr">
        <is>
          <t>FilmAffinity</t>
        </is>
      </c>
      <c r="X2" s="26" t="inlineStr">
        <is>
          <t>Letterboxd</t>
        </is>
      </c>
    </row>
    <row r="3">
      <c r="A3" t="inlineStr">
        <is>
          <t>p0002</t>
        </is>
      </c>
      <c r="B3" t="inlineStr">
        <is>
          <t>Backrooms</t>
        </is>
      </c>
      <c r="C3" t="inlineStr">
        <is>
          <t>Backrooms</t>
        </is>
      </c>
      <c r="D3" s="4" t="n">
        <v>2026</v>
      </c>
      <c r="E3" s="4">
        <f>IF(D3="","",FLOOR(D3,10))</f>
        <v/>
      </c>
      <c r="F3" s="22" t="n">
        <v>110</v>
      </c>
      <c r="G3" s="23" t="n">
        <v>7.5</v>
      </c>
      <c r="H3" t="inlineStr">
        <is>
          <t>Kane Pearsons</t>
        </is>
      </c>
      <c r="I3" t="inlineStr">
        <is>
          <t>Estados Unidos</t>
        </is>
      </c>
      <c r="J3" t="inlineStr">
        <is>
          <t>Terror, Ciencia ficción</t>
        </is>
      </c>
      <c r="M3" s="6" t="n"/>
      <c r="O3" s="24" t="inlineStr"/>
      <c r="Q3" s="25" t="n">
        <v>81402424</v>
      </c>
      <c r="R3" s="25" t="n">
        <v>197523513</v>
      </c>
      <c r="S3" s="25" t="n">
        <v>203308944</v>
      </c>
      <c r="T3" s="25">
        <f>IF(AND(R3="",S3=""),"",N(R3)+N(S3))</f>
        <v/>
      </c>
      <c r="U3" s="25" t="n"/>
      <c r="V3" s="26" t="inlineStr">
        <is>
          <t>IMDb</t>
        </is>
      </c>
      <c r="W3" s="26" t="inlineStr">
        <is>
          <t>FilmAffinity</t>
        </is>
      </c>
      <c r="X3" s="26" t="inlineStr">
        <is>
          <t>Letterboxd</t>
        </is>
      </c>
    </row>
    <row r="4">
      <c r="A4" t="inlineStr">
        <is>
          <t>p0003</t>
        </is>
      </c>
      <c r="B4" t="inlineStr">
        <is>
          <t>Obsession</t>
        </is>
      </c>
      <c r="C4" t="inlineStr">
        <is>
          <t>Obsession</t>
        </is>
      </c>
      <c r="D4" s="4" t="n">
        <v>2026</v>
      </c>
      <c r="E4" s="4">
        <f>IF(D4="","",FLOOR(D4,10))</f>
        <v/>
      </c>
      <c r="F4" s="22" t="n">
        <v>108</v>
      </c>
      <c r="G4" s="23" t="n">
        <v>7.3</v>
      </c>
      <c r="H4" t="inlineStr">
        <is>
          <t>Curry Barker</t>
        </is>
      </c>
      <c r="I4" t="inlineStr">
        <is>
          <t>Estados Unidos</t>
        </is>
      </c>
      <c r="J4" t="inlineStr">
        <is>
          <t>Terror, Thriller</t>
        </is>
      </c>
      <c r="M4" s="6" t="n"/>
      <c r="O4" s="24" t="inlineStr"/>
      <c r="Q4" s="25" t="n">
        <v>17196855</v>
      </c>
      <c r="R4" s="25" t="n">
        <v>263451715</v>
      </c>
      <c r="S4" s="25" t="n">
        <v>255974601</v>
      </c>
      <c r="T4" s="25">
        <f>IF(AND(R4="",S4=""),"",N(R4)+N(S4))</f>
        <v/>
      </c>
      <c r="U4" s="25" t="n"/>
      <c r="V4" s="26" t="inlineStr">
        <is>
          <t>IMDb</t>
        </is>
      </c>
      <c r="W4" s="26" t="inlineStr">
        <is>
          <t>FilmAffinity</t>
        </is>
      </c>
      <c r="X4" s="26" t="inlineStr">
        <is>
          <t>Letterboxd</t>
        </is>
      </c>
    </row>
    <row r="5">
      <c r="A5" t="inlineStr">
        <is>
          <t>p0004</t>
        </is>
      </c>
      <c r="B5" t="inlineStr">
        <is>
          <t>Hokum</t>
        </is>
      </c>
      <c r="C5" t="inlineStr">
        <is>
          <t>Hokum</t>
        </is>
      </c>
      <c r="D5" s="4" t="n">
        <v>2026</v>
      </c>
      <c r="E5" s="4">
        <f>IF(D5="","",FLOOR(D5,10))</f>
        <v/>
      </c>
      <c r="F5" s="22" t="n">
        <v>101</v>
      </c>
      <c r="G5" s="23" t="n">
        <v>7.1</v>
      </c>
      <c r="H5" t="inlineStr">
        <is>
          <t>Damian McCarthy</t>
        </is>
      </c>
      <c r="I5" t="inlineStr">
        <is>
          <t>Irlanda</t>
        </is>
      </c>
      <c r="J5" t="inlineStr">
        <is>
          <t>Terror</t>
        </is>
      </c>
      <c r="M5" s="6" t="n"/>
      <c r="O5" s="24" t="inlineStr"/>
      <c r="Q5" s="25" t="n">
        <v>6428305</v>
      </c>
      <c r="R5" s="25" t="n">
        <v>17000014</v>
      </c>
      <c r="S5" s="25" t="n">
        <v>8023376</v>
      </c>
      <c r="T5" s="25">
        <f>IF(AND(R5="",S5=""),"",N(R5)+N(S5))</f>
        <v/>
      </c>
      <c r="U5" s="25" t="n"/>
      <c r="V5" s="26" t="inlineStr">
        <is>
          <t>IMDb</t>
        </is>
      </c>
      <c r="W5" s="26" t="inlineStr">
        <is>
          <t>FilmAffinity</t>
        </is>
      </c>
      <c r="X5" s="26" t="inlineStr">
        <is>
          <t>Letterboxd</t>
        </is>
      </c>
    </row>
    <row r="6">
      <c r="A6" t="inlineStr">
        <is>
          <t>p0005</t>
        </is>
      </c>
      <c r="B6" t="inlineStr">
        <is>
          <t>Michael</t>
        </is>
      </c>
      <c r="C6" t="inlineStr">
        <is>
          <t>Michael</t>
        </is>
      </c>
      <c r="D6" s="4" t="n">
        <v>2026</v>
      </c>
      <c r="E6" s="4">
        <f>IF(D6="","",FLOOR(D6,10))</f>
        <v/>
      </c>
      <c r="F6" s="22" t="n">
        <v>127</v>
      </c>
      <c r="G6" s="23" t="n">
        <v>7.1</v>
      </c>
      <c r="H6" t="inlineStr">
        <is>
          <t>Antoine Fuqua</t>
        </is>
      </c>
      <c r="I6" t="inlineStr">
        <is>
          <t>Estados Unidos</t>
        </is>
      </c>
      <c r="J6" t="inlineStr">
        <is>
          <t>Biográfico, Musical, Drama</t>
        </is>
      </c>
      <c r="M6" s="6" t="n"/>
      <c r="O6" s="24" t="inlineStr"/>
      <c r="Q6" s="25" t="n">
        <v>97206874</v>
      </c>
      <c r="R6" s="25" t="n">
        <v>372303388</v>
      </c>
      <c r="S6" s="25" t="n">
        <v>656400000</v>
      </c>
      <c r="T6" s="25">
        <f>IF(AND(R6="",S6=""),"",N(R6)+N(S6))</f>
        <v/>
      </c>
      <c r="U6" s="25" t="n">
        <v>155000000</v>
      </c>
      <c r="V6" s="26" t="inlineStr">
        <is>
          <t>IMDb</t>
        </is>
      </c>
      <c r="W6" s="26" t="inlineStr">
        <is>
          <t>FilmAffinity</t>
        </is>
      </c>
      <c r="X6" s="26" t="inlineStr">
        <is>
          <t>Letterboxd</t>
        </is>
      </c>
    </row>
    <row r="7">
      <c r="A7" t="inlineStr">
        <is>
          <t>p0006</t>
        </is>
      </c>
      <c r="B7" t="inlineStr">
        <is>
          <t>Spider-Man: Brand New Day</t>
        </is>
      </c>
      <c r="C7" t="inlineStr">
        <is>
          <t>Spider-Man: Brand New Day</t>
        </is>
      </c>
      <c r="D7" s="4" t="n">
        <v>2026</v>
      </c>
      <c r="E7" s="4">
        <f>IF(D7="","",FLOOR(D7,10))</f>
        <v/>
      </c>
      <c r="F7" s="22" t="n">
        <v>144</v>
      </c>
      <c r="G7" s="23" t="n">
        <v>6.8</v>
      </c>
      <c r="H7" t="inlineStr">
        <is>
          <t>Destin Cretton</t>
        </is>
      </c>
      <c r="I7" t="inlineStr">
        <is>
          <t>Estados Unidos</t>
        </is>
      </c>
      <c r="J7" t="inlineStr">
        <is>
          <t>Superhéroes, Acción, Aventura</t>
        </is>
      </c>
      <c r="K7" t="inlineStr">
        <is>
          <t>UCM</t>
        </is>
      </c>
      <c r="L7" t="inlineStr">
        <is>
          <t>Fase 6 · Saga del Multiverso</t>
        </is>
      </c>
      <c r="M7" s="6" t="n"/>
      <c r="O7" s="24" t="inlineStr"/>
      <c r="Q7" s="25" t="n">
        <v>360091572</v>
      </c>
      <c r="R7" s="25" t="n">
        <v>950962480</v>
      </c>
      <c r="S7" s="25" t="n">
        <v>1544987184</v>
      </c>
      <c r="T7" s="25">
        <f>IF(AND(R7="",S7=""),"",N(R7)+N(S7))</f>
        <v/>
      </c>
      <c r="U7" s="25" t="n">
        <v>225000000</v>
      </c>
      <c r="V7" s="26" t="inlineStr">
        <is>
          <t>IMDb</t>
        </is>
      </c>
      <c r="W7" s="26" t="inlineStr">
        <is>
          <t>FilmAffinity</t>
        </is>
      </c>
      <c r="X7" s="26" t="inlineStr">
        <is>
          <t>Letterboxd</t>
        </is>
      </c>
    </row>
    <row r="8">
      <c r="A8" t="inlineStr">
        <is>
          <t>p0007</t>
        </is>
      </c>
      <c r="B8" t="inlineStr">
        <is>
          <t>El Final de Oak Street</t>
        </is>
      </c>
      <c r="C8" t="inlineStr">
        <is>
          <t>Flowervale Street</t>
        </is>
      </c>
      <c r="D8" s="4" t="n">
        <v>2026</v>
      </c>
      <c r="E8" s="4">
        <f>IF(D8="","",FLOOR(D8,10))</f>
        <v/>
      </c>
      <c r="F8" s="22" t="n">
        <v>99</v>
      </c>
      <c r="G8" s="23" t="n">
        <v>6.4</v>
      </c>
      <c r="H8" t="inlineStr">
        <is>
          <t>David Robert Mitchell</t>
        </is>
      </c>
      <c r="I8" t="inlineStr">
        <is>
          <t>Estados Unidos</t>
        </is>
      </c>
      <c r="J8" t="inlineStr">
        <is>
          <t>Ciencia ficción, Acción, Aventura</t>
        </is>
      </c>
      <c r="M8" s="6" t="n"/>
      <c r="O8" s="24" t="inlineStr"/>
      <c r="Q8" s="25" t="n">
        <v>21010488</v>
      </c>
      <c r="R8" s="25" t="n">
        <v>54176878</v>
      </c>
      <c r="S8" s="25" t="n">
        <v>67000000</v>
      </c>
      <c r="T8" s="25">
        <f>IF(AND(R8="",S8=""),"",N(R8)+N(S8))</f>
        <v/>
      </c>
      <c r="U8" s="25" t="n"/>
      <c r="V8" s="26" t="inlineStr">
        <is>
          <t>IMDb</t>
        </is>
      </c>
      <c r="W8" s="26" t="inlineStr">
        <is>
          <t>FilmAffinity</t>
        </is>
      </c>
      <c r="X8" s="26" t="inlineStr">
        <is>
          <t>Letterboxd</t>
        </is>
      </c>
    </row>
    <row r="9">
      <c r="A9" t="inlineStr">
        <is>
          <t>p0008</t>
        </is>
      </c>
      <c r="B9" t="inlineStr">
        <is>
          <t>El ser querido</t>
        </is>
      </c>
      <c r="C9" t="inlineStr">
        <is>
          <t>El ser querido</t>
        </is>
      </c>
      <c r="D9" s="4" t="n">
        <v>2026</v>
      </c>
      <c r="E9" s="4">
        <f>IF(D9="","",FLOOR(D9,10))</f>
        <v/>
      </c>
      <c r="F9" s="22" t="n">
        <v>135</v>
      </c>
      <c r="G9" s="23" t="n">
        <v>5.5</v>
      </c>
      <c r="H9" t="inlineStr">
        <is>
          <t>Rodrigo Sorogoyen</t>
        </is>
      </c>
      <c r="I9" t="inlineStr">
        <is>
          <t>España</t>
        </is>
      </c>
      <c r="J9" t="inlineStr">
        <is>
          <t>Drama</t>
        </is>
      </c>
      <c r="M9" s="6" t="n"/>
      <c r="O9" s="24" t="inlineStr"/>
      <c r="Q9" s="25" t="n"/>
      <c r="R9" s="25" t="n">
        <v>1052926</v>
      </c>
      <c r="S9" s="25" t="n">
        <v>5781120</v>
      </c>
      <c r="T9" s="25">
        <f>IF(AND(R9="",S9=""),"",N(R9)+N(S9))</f>
        <v/>
      </c>
      <c r="U9" s="25" t="n"/>
      <c r="V9" s="26" t="inlineStr">
        <is>
          <t>IMDb</t>
        </is>
      </c>
      <c r="X9" s="26" t="inlineStr">
        <is>
          <t>Letterboxd</t>
        </is>
      </c>
    </row>
    <row r="10">
      <c r="A10" t="inlineStr">
        <is>
          <t>p0009</t>
        </is>
      </c>
      <c r="B10" t="inlineStr">
        <is>
          <t>Super Mario Galaxy</t>
        </is>
      </c>
      <c r="C10" t="inlineStr">
        <is>
          <t>The Super Mario Galaxy Movie</t>
        </is>
      </c>
      <c r="D10" s="4" t="n">
        <v>2026</v>
      </c>
      <c r="E10" s="4">
        <f>IF(D10="","",FLOOR(D10,10))</f>
        <v/>
      </c>
      <c r="F10" s="22" t="n">
        <v>98</v>
      </c>
      <c r="G10" s="23" t="n">
        <v>5.4</v>
      </c>
      <c r="H10" t="inlineStr">
        <is>
          <t>Aaron Horvath / Michael Jelenic</t>
        </is>
      </c>
      <c r="I10" t="inlineStr">
        <is>
          <t>Estados Unidos</t>
        </is>
      </c>
      <c r="J10" t="inlineStr">
        <is>
          <t>Animación, Aventura, Familiar</t>
        </is>
      </c>
      <c r="K10" t="inlineStr">
        <is>
          <t>Super Mario</t>
        </is>
      </c>
      <c r="M10" s="6" t="n"/>
      <c r="O10" s="24" t="inlineStr"/>
      <c r="Q10" s="25" t="n">
        <v>131703340</v>
      </c>
      <c r="R10" s="25" t="n">
        <v>429814610</v>
      </c>
      <c r="S10" s="25" t="n">
        <v>582555509</v>
      </c>
      <c r="T10" s="25">
        <f>IF(AND(R10="",S10=""),"",N(R10)+N(S10))</f>
        <v/>
      </c>
      <c r="U10" s="25" t="n">
        <v>110000000</v>
      </c>
      <c r="V10" s="26" t="inlineStr">
        <is>
          <t>IMDb</t>
        </is>
      </c>
      <c r="W10" s="26" t="inlineStr">
        <is>
          <t>FilmAffinity</t>
        </is>
      </c>
      <c r="X10" s="26" t="inlineStr">
        <is>
          <t>Letterboxd</t>
        </is>
      </c>
    </row>
    <row r="11">
      <c r="A11" t="inlineStr">
        <is>
          <t>p0010</t>
        </is>
      </c>
      <c r="B11" t="inlineStr">
        <is>
          <t>La Momia de Lee Cronin</t>
        </is>
      </c>
      <c r="C11" t="inlineStr">
        <is>
          <t>Lee Cronin's The Mummy</t>
        </is>
      </c>
      <c r="D11" s="4" t="n">
        <v>2026</v>
      </c>
      <c r="E11" s="4">
        <f>IF(D11="","",FLOOR(D11,10))</f>
        <v/>
      </c>
      <c r="F11" s="22" t="n">
        <v>133</v>
      </c>
      <c r="G11" s="23" t="n">
        <v>5.1</v>
      </c>
      <c r="H11" t="inlineStr">
        <is>
          <t>Lee Cronin</t>
        </is>
      </c>
      <c r="I11" t="inlineStr">
        <is>
          <t>Estados Unidos</t>
        </is>
      </c>
      <c r="J11" t="inlineStr">
        <is>
          <t>Terror</t>
        </is>
      </c>
      <c r="K11" t="inlineStr">
        <is>
          <t>La Momia</t>
        </is>
      </c>
      <c r="M11" s="6" t="n"/>
      <c r="O11" s="24" t="inlineStr"/>
      <c r="Q11" s="25" t="n">
        <v>13517172</v>
      </c>
      <c r="R11" s="25" t="n">
        <v>29152113</v>
      </c>
      <c r="S11" s="25" t="n">
        <v>61400000</v>
      </c>
      <c r="T11" s="25">
        <f>IF(AND(R11="",S11=""),"",N(R11)+N(S11))</f>
        <v/>
      </c>
      <c r="U11" s="25" t="n"/>
      <c r="V11" s="26" t="inlineStr">
        <is>
          <t>IMDb</t>
        </is>
      </c>
      <c r="W11" s="26" t="inlineStr">
        <is>
          <t>FilmAffinity</t>
        </is>
      </c>
      <c r="X11" s="26" t="inlineStr">
        <is>
          <t>Letterboxd</t>
        </is>
      </c>
    </row>
    <row r="12">
      <c r="A12" t="inlineStr">
        <is>
          <t>p0011</t>
        </is>
      </c>
      <c r="B12" t="inlineStr">
        <is>
          <t>El Pasajero Nocturno</t>
        </is>
      </c>
      <c r="C12" t="inlineStr">
        <is>
          <t>Passenger</t>
        </is>
      </c>
      <c r="D12" s="4" t="n">
        <v>2026</v>
      </c>
      <c r="E12" s="4">
        <f>IF(D12="","",FLOOR(D12,10))</f>
        <v/>
      </c>
      <c r="F12" s="22" t="n">
        <v>94</v>
      </c>
      <c r="G12" s="23" t="n">
        <v>5</v>
      </c>
      <c r="H12" t="inlineStr">
        <is>
          <t>André Øvredal</t>
        </is>
      </c>
      <c r="I12" t="inlineStr">
        <is>
          <t>Estados Unidos</t>
        </is>
      </c>
      <c r="J12" t="inlineStr">
        <is>
          <t>Terror</t>
        </is>
      </c>
      <c r="M12" s="6" t="n"/>
      <c r="O12" s="24" t="inlineStr"/>
      <c r="Q12" s="25" t="n">
        <v>8746797</v>
      </c>
      <c r="R12" s="25" t="n">
        <v>18041122</v>
      </c>
      <c r="S12" s="25" t="n">
        <v>13579386</v>
      </c>
      <c r="T12" s="25">
        <f>IF(AND(R12="",S12=""),"",N(R12)+N(S12))</f>
        <v/>
      </c>
      <c r="U12" s="25" t="n"/>
      <c r="V12" s="26" t="inlineStr">
        <is>
          <t>IMDb</t>
        </is>
      </c>
      <c r="W12" s="26" t="inlineStr">
        <is>
          <t>FilmAffinity</t>
        </is>
      </c>
      <c r="X12" s="26" t="inlineStr">
        <is>
          <t>Letterboxd</t>
        </is>
      </c>
    </row>
    <row r="13">
      <c r="A13" t="inlineStr">
        <is>
          <t>p0012</t>
        </is>
      </c>
      <c r="B13" t="inlineStr">
        <is>
          <t>Mickey 17</t>
        </is>
      </c>
      <c r="C13" t="inlineStr">
        <is>
          <t>Mickey 17</t>
        </is>
      </c>
      <c r="D13" s="4" t="n">
        <v>2025</v>
      </c>
      <c r="E13" s="4">
        <f>IF(D13="","",FLOOR(D13,10))</f>
        <v/>
      </c>
      <c r="F13" s="22" t="n">
        <v>137</v>
      </c>
      <c r="G13" s="23" t="n">
        <v>6.6</v>
      </c>
      <c r="H13" t="inlineStr">
        <is>
          <t>Bong Joon-ho</t>
        </is>
      </c>
      <c r="I13" t="inlineStr">
        <is>
          <t>Estados Unidos</t>
        </is>
      </c>
      <c r="J13" t="inlineStr">
        <is>
          <t>Ciencia ficción, Comedia</t>
        </is>
      </c>
      <c r="M13" s="6" t="n"/>
      <c r="O13" s="24" t="inlineStr"/>
      <c r="Q13" s="25" t="n">
        <v>19002852</v>
      </c>
      <c r="R13" s="25" t="n">
        <v>46142263</v>
      </c>
      <c r="S13" s="25" t="n">
        <v>87400000</v>
      </c>
      <c r="T13" s="25">
        <f>IF(AND(R13="",S13=""),"",N(R13)+N(S13))</f>
        <v/>
      </c>
      <c r="U13" s="25" t="n"/>
      <c r="V13" s="26" t="inlineStr">
        <is>
          <t>IMDb</t>
        </is>
      </c>
      <c r="W13" s="26" t="inlineStr">
        <is>
          <t>FilmAffinity</t>
        </is>
      </c>
      <c r="X13" s="26" t="inlineStr">
        <is>
          <t>Letterboxd</t>
        </is>
      </c>
    </row>
    <row r="14">
      <c r="A14" t="inlineStr">
        <is>
          <t>p0013</t>
        </is>
      </c>
      <c r="B14" t="inlineStr">
        <is>
          <t>Weapons</t>
        </is>
      </c>
      <c r="C14" t="inlineStr">
        <is>
          <t>Weapons</t>
        </is>
      </c>
      <c r="D14" s="4" t="n">
        <v>2025</v>
      </c>
      <c r="E14" s="4">
        <f>IF(D14="","",FLOOR(D14,10))</f>
        <v/>
      </c>
      <c r="F14" s="22" t="n">
        <v>128</v>
      </c>
      <c r="G14" s="23" t="n">
        <v>6.2</v>
      </c>
      <c r="H14" t="inlineStr">
        <is>
          <t>Zach Cregger</t>
        </is>
      </c>
      <c r="I14" t="inlineStr">
        <is>
          <t>Estados Unidos</t>
        </is>
      </c>
      <c r="J14" t="inlineStr">
        <is>
          <t>Terror, Misterio</t>
        </is>
      </c>
      <c r="M14" s="6" t="n"/>
      <c r="O14" s="24" t="inlineStr"/>
      <c r="Q14" s="25" t="n">
        <v>43501217</v>
      </c>
      <c r="R14" s="25" t="n">
        <v>151572492</v>
      </c>
      <c r="S14" s="25" t="n">
        <v>118500000</v>
      </c>
      <c r="T14" s="25">
        <f>IF(AND(R14="",S14=""),"",N(R14)+N(S14))</f>
        <v/>
      </c>
      <c r="U14" s="25" t="n"/>
      <c r="V14" s="26" t="inlineStr">
        <is>
          <t>IMDb</t>
        </is>
      </c>
      <c r="W14" s="26" t="inlineStr">
        <is>
          <t>FilmAffinity</t>
        </is>
      </c>
      <c r="X14" s="26" t="inlineStr">
        <is>
          <t>Letterboxd</t>
        </is>
      </c>
    </row>
    <row r="15">
      <c r="A15" t="inlineStr">
        <is>
          <t>p0014</t>
        </is>
      </c>
      <c r="B15" t="inlineStr">
        <is>
          <t>Thunderbolts*</t>
        </is>
      </c>
      <c r="C15" t="inlineStr">
        <is>
          <t>Thunderbolts*</t>
        </is>
      </c>
      <c r="D15" s="4" t="n">
        <v>2025</v>
      </c>
      <c r="E15" s="4">
        <f>IF(D15="","",FLOOR(D15,10))</f>
        <v/>
      </c>
      <c r="F15" s="22" t="n">
        <v>126</v>
      </c>
      <c r="G15" s="23" t="n">
        <v>5.7</v>
      </c>
      <c r="H15" t="inlineStr">
        <is>
          <t>Jake Schreier</t>
        </is>
      </c>
      <c r="I15" t="inlineStr">
        <is>
          <t>Estados Unidos</t>
        </is>
      </c>
      <c r="J15" t="inlineStr">
        <is>
          <t>Superhéroes, Acción</t>
        </is>
      </c>
      <c r="K15" t="inlineStr">
        <is>
          <t>UCM</t>
        </is>
      </c>
      <c r="L15" t="inlineStr">
        <is>
          <t>Fase 5 · Saga del Multiverso</t>
        </is>
      </c>
      <c r="M15" s="6" t="n"/>
      <c r="O15" s="24" t="inlineStr"/>
      <c r="Q15" s="25" t="n">
        <v>74300608</v>
      </c>
      <c r="R15" s="25" t="n">
        <v>190274328</v>
      </c>
      <c r="S15" s="25" t="n">
        <v>192162589</v>
      </c>
      <c r="T15" s="25">
        <f>IF(AND(R15="",S15=""),"",N(R15)+N(S15))</f>
        <v/>
      </c>
      <c r="U15" s="25" t="n">
        <v>180000000</v>
      </c>
      <c r="V15" s="26" t="inlineStr">
        <is>
          <t>IMDb</t>
        </is>
      </c>
      <c r="W15" s="26" t="inlineStr">
        <is>
          <t>FilmAffinity</t>
        </is>
      </c>
      <c r="X15" s="26" t="inlineStr">
        <is>
          <t>Letterboxd</t>
        </is>
      </c>
    </row>
    <row r="16">
      <c r="A16" t="inlineStr">
        <is>
          <t>p0015</t>
        </is>
      </c>
      <c r="B16" t="inlineStr">
        <is>
          <t>Los Cuatro Fantásticos: Primeros Pasos</t>
        </is>
      </c>
      <c r="C16" t="inlineStr">
        <is>
          <t>The Fantastic Four: First Steps</t>
        </is>
      </c>
      <c r="D16" s="4" t="n">
        <v>2025</v>
      </c>
      <c r="E16" s="4">
        <f>IF(D16="","",FLOOR(D16,10))</f>
        <v/>
      </c>
      <c r="F16" s="22" t="n">
        <v>115</v>
      </c>
      <c r="G16" s="23" t="n">
        <v>5.6</v>
      </c>
      <c r="H16" t="inlineStr">
        <is>
          <t>Matt Shakman</t>
        </is>
      </c>
      <c r="I16" t="inlineStr">
        <is>
          <t>Estados Unidos</t>
        </is>
      </c>
      <c r="J16" t="inlineStr">
        <is>
          <t>Superhéroes, Ciencia ficción</t>
        </is>
      </c>
      <c r="K16" t="inlineStr">
        <is>
          <t>UCM</t>
        </is>
      </c>
      <c r="L16" t="inlineStr">
        <is>
          <t>Fase 6 · Saga del Multiverso</t>
        </is>
      </c>
      <c r="M16" s="6" t="n"/>
      <c r="O16" s="24" t="inlineStr"/>
      <c r="Q16" s="25" t="n">
        <v>117644828</v>
      </c>
      <c r="R16" s="25" t="n">
        <v>274286610</v>
      </c>
      <c r="S16" s="25" t="n">
        <v>247572118</v>
      </c>
      <c r="T16" s="25">
        <f>IF(AND(R16="",S16=""),"",N(R16)+N(S16))</f>
        <v/>
      </c>
      <c r="U16" s="25" t="n">
        <v>229600000</v>
      </c>
      <c r="V16" s="26" t="inlineStr">
        <is>
          <t>IMDb</t>
        </is>
      </c>
      <c r="W16" s="26" t="inlineStr">
        <is>
          <t>FilmAffinity</t>
        </is>
      </c>
      <c r="X16" s="26" t="inlineStr">
        <is>
          <t>Letterboxd</t>
        </is>
      </c>
    </row>
    <row r="17">
      <c r="A17" t="inlineStr">
        <is>
          <t>p0016</t>
        </is>
      </c>
      <c r="B17" t="inlineStr">
        <is>
          <t>F1</t>
        </is>
      </c>
      <c r="C17" t="inlineStr">
        <is>
          <t>F1</t>
        </is>
      </c>
      <c r="D17" s="4" t="n">
        <v>2025</v>
      </c>
      <c r="E17" s="4">
        <f>IF(D17="","",FLOOR(D17,10))</f>
        <v/>
      </c>
      <c r="F17" s="22" t="n">
        <v>155</v>
      </c>
      <c r="G17" s="23" t="n">
        <v>5.2</v>
      </c>
      <c r="H17" t="inlineStr">
        <is>
          <t>Joseph Kosinski</t>
        </is>
      </c>
      <c r="I17" t="inlineStr">
        <is>
          <t>Estados Unidos</t>
        </is>
      </c>
      <c r="J17" t="inlineStr">
        <is>
          <t>Acción, Drama</t>
        </is>
      </c>
      <c r="M17" s="6" t="n"/>
      <c r="O17" s="24" t="inlineStr"/>
      <c r="Q17" s="25" t="n">
        <v>57001667</v>
      </c>
      <c r="R17" s="25" t="n">
        <v>189642436</v>
      </c>
      <c r="S17" s="25" t="n">
        <v>444500000</v>
      </c>
      <c r="T17" s="25">
        <f>IF(AND(R17="",S17=""),"",N(R17)+N(S17))</f>
        <v/>
      </c>
      <c r="U17" s="25" t="n"/>
      <c r="V17" s="26" t="inlineStr">
        <is>
          <t>IMDb</t>
        </is>
      </c>
      <c r="W17" s="26" t="inlineStr">
        <is>
          <t>FilmAffinity</t>
        </is>
      </c>
      <c r="X17" s="26" t="inlineStr">
        <is>
          <t>Letterboxd</t>
        </is>
      </c>
    </row>
    <row r="18">
      <c r="A18" t="inlineStr">
        <is>
          <t>p0017</t>
        </is>
      </c>
      <c r="B18" t="inlineStr">
        <is>
          <t>Expediente Warren: El Último Rito</t>
        </is>
      </c>
      <c r="C18" t="inlineStr">
        <is>
          <t>The Conjuring: Last Rites</t>
        </is>
      </c>
      <c r="D18" s="4" t="n">
        <v>2025</v>
      </c>
      <c r="E18" s="4">
        <f>IF(D18="","",FLOOR(D18,10))</f>
        <v/>
      </c>
      <c r="F18" s="22" t="n">
        <v>135</v>
      </c>
      <c r="G18" s="23" t="n">
        <v>4.8</v>
      </c>
      <c r="H18" t="inlineStr">
        <is>
          <t>Michael Chaves</t>
        </is>
      </c>
      <c r="I18" t="inlineStr">
        <is>
          <t>Estados Unidos</t>
        </is>
      </c>
      <c r="J18" t="inlineStr">
        <is>
          <t>Terror</t>
        </is>
      </c>
      <c r="K18" t="inlineStr">
        <is>
          <t>Universo Expediente Warren</t>
        </is>
      </c>
      <c r="M18" s="6" t="n"/>
      <c r="O18" s="24" t="inlineStr"/>
      <c r="Q18" s="25" t="n">
        <v>84006121</v>
      </c>
      <c r="R18" s="25" t="n">
        <v>177756445</v>
      </c>
      <c r="S18" s="25" t="n">
        <v>321500000</v>
      </c>
      <c r="T18" s="25">
        <f>IF(AND(R18="",S18=""),"",N(R18)+N(S18))</f>
        <v/>
      </c>
      <c r="U18" s="25" t="n"/>
      <c r="V18" s="26" t="inlineStr">
        <is>
          <t>IMDb</t>
        </is>
      </c>
      <c r="W18" s="26" t="inlineStr">
        <is>
          <t>FilmAffinity</t>
        </is>
      </c>
      <c r="X18" s="26" t="inlineStr">
        <is>
          <t>Letterboxd</t>
        </is>
      </c>
    </row>
    <row r="19">
      <c r="A19" t="inlineStr">
        <is>
          <t>p0018</t>
        </is>
      </c>
      <c r="B19" t="inlineStr">
        <is>
          <t>Capitán América: Brave New World</t>
        </is>
      </c>
      <c r="C19" t="inlineStr">
        <is>
          <t>Captain America: Brave New World</t>
        </is>
      </c>
      <c r="D19" s="4" t="n">
        <v>2025</v>
      </c>
      <c r="E19" s="4">
        <f>IF(D19="","",FLOOR(D19,10))</f>
        <v/>
      </c>
      <c r="F19" s="22" t="n">
        <v>119</v>
      </c>
      <c r="G19" s="23" t="n">
        <v>4.7</v>
      </c>
      <c r="H19" t="inlineStr">
        <is>
          <t>Julius Onah</t>
        </is>
      </c>
      <c r="I19" t="inlineStr">
        <is>
          <t>Estados Unidos</t>
        </is>
      </c>
      <c r="J19" t="inlineStr">
        <is>
          <t>Superhéroes, Acción</t>
        </is>
      </c>
      <c r="K19" t="inlineStr">
        <is>
          <t>UCM</t>
        </is>
      </c>
      <c r="L19" t="inlineStr">
        <is>
          <t>Fase 5 · Saga del Multiverso</t>
        </is>
      </c>
      <c r="M19" s="6" t="n"/>
      <c r="O19" s="24" t="inlineStr"/>
      <c r="Q19" s="25" t="n">
        <v>88842603</v>
      </c>
      <c r="R19" s="25" t="n">
        <v>200500001</v>
      </c>
      <c r="S19" s="25" t="n">
        <v>214601576</v>
      </c>
      <c r="T19" s="25">
        <f>IF(AND(R19="",S19=""),"",N(R19)+N(S19))</f>
        <v/>
      </c>
      <c r="U19" s="25" t="n">
        <v>180000000</v>
      </c>
      <c r="V19" s="26" t="inlineStr">
        <is>
          <t>IMDb</t>
        </is>
      </c>
      <c r="W19" s="26" t="inlineStr">
        <is>
          <t>FilmAffinity</t>
        </is>
      </c>
      <c r="X19" s="26" t="inlineStr">
        <is>
          <t>Letterboxd</t>
        </is>
      </c>
    </row>
    <row r="20">
      <c r="A20" t="inlineStr">
        <is>
          <t>p0019</t>
        </is>
      </c>
      <c r="B20" t="inlineStr">
        <is>
          <t>Until Dawn</t>
        </is>
      </c>
      <c r="C20" t="inlineStr">
        <is>
          <t>Until Dawn</t>
        </is>
      </c>
      <c r="D20" s="4" t="n">
        <v>2025</v>
      </c>
      <c r="E20" s="4">
        <f>IF(D20="","",FLOOR(D20,10))</f>
        <v/>
      </c>
      <c r="F20" s="22" t="n">
        <v>103</v>
      </c>
      <c r="G20" s="23" t="n">
        <v>3.6</v>
      </c>
      <c r="H20" t="inlineStr">
        <is>
          <t>David F. Sandberg</t>
        </is>
      </c>
      <c r="I20" t="inlineStr">
        <is>
          <t>Estados Unidos</t>
        </is>
      </c>
      <c r="J20" t="inlineStr">
        <is>
          <t>Terror</t>
        </is>
      </c>
      <c r="M20" s="6" t="n"/>
      <c r="O20" s="24" t="inlineStr"/>
      <c r="Q20" s="25" t="n">
        <v>8003402</v>
      </c>
      <c r="R20" s="25" t="n">
        <v>20172192</v>
      </c>
      <c r="S20" s="25" t="n">
        <v>33932872</v>
      </c>
      <c r="T20" s="25">
        <f>IF(AND(R20="",S20=""),"",N(R20)+N(S20))</f>
        <v/>
      </c>
      <c r="U20" s="25" t="n"/>
      <c r="V20" s="26" t="inlineStr">
        <is>
          <t>IMDb</t>
        </is>
      </c>
      <c r="W20" s="26" t="inlineStr">
        <is>
          <t>FilmAffinity</t>
        </is>
      </c>
      <c r="X20" s="26" t="inlineStr">
        <is>
          <t>Letterboxd</t>
        </is>
      </c>
    </row>
    <row r="21">
      <c r="A21" t="inlineStr">
        <is>
          <t>p0020</t>
        </is>
      </c>
      <c r="B21" t="inlineStr">
        <is>
          <t>Strangers: Capítulo 2</t>
        </is>
      </c>
      <c r="C21" t="inlineStr">
        <is>
          <t>The Strangers: Chapter 2</t>
        </is>
      </c>
      <c r="D21" s="4" t="n">
        <v>2025</v>
      </c>
      <c r="E21" s="4">
        <f>IF(D21="","",FLOOR(D21,10))</f>
        <v/>
      </c>
      <c r="F21" s="22" t="n">
        <v>96</v>
      </c>
      <c r="G21" s="23" t="n">
        <v>3</v>
      </c>
      <c r="H21" t="inlineStr">
        <is>
          <t>Renny Harlin</t>
        </is>
      </c>
      <c r="I21" t="inlineStr">
        <is>
          <t>Estados Unidos</t>
        </is>
      </c>
      <c r="J21" t="inlineStr">
        <is>
          <t>Terror</t>
        </is>
      </c>
      <c r="K21" t="inlineStr">
        <is>
          <t>The Strangers</t>
        </is>
      </c>
      <c r="M21" s="6" t="n"/>
      <c r="O21" s="24" t="inlineStr"/>
      <c r="Q21" s="25" t="n">
        <v>5806192</v>
      </c>
      <c r="R21" s="25" t="n">
        <v>15153346</v>
      </c>
      <c r="S21" s="25" t="n">
        <v>6768403</v>
      </c>
      <c r="T21" s="25">
        <f>IF(AND(R21="",S21=""),"",N(R21)+N(S21))</f>
        <v/>
      </c>
      <c r="U21" s="25" t="n"/>
      <c r="V21" s="26" t="inlineStr">
        <is>
          <t>IMDb</t>
        </is>
      </c>
      <c r="W21" s="26" t="inlineStr">
        <is>
          <t>FilmAffinity</t>
        </is>
      </c>
      <c r="X21" s="26" t="inlineStr">
        <is>
          <t>Letterboxd</t>
        </is>
      </c>
    </row>
    <row r="22">
      <c r="A22" t="inlineStr">
        <is>
          <t>p0021</t>
        </is>
      </c>
      <c r="B22" t="inlineStr">
        <is>
          <t>Hereje</t>
        </is>
      </c>
      <c r="C22" t="inlineStr">
        <is>
          <t>Heretic</t>
        </is>
      </c>
      <c r="D22" s="4" t="n">
        <v>2024</v>
      </c>
      <c r="E22" s="4">
        <f>IF(D22="","",FLOOR(D22,10))</f>
        <v/>
      </c>
      <c r="F22" s="22" t="n">
        <v>110</v>
      </c>
      <c r="G22" s="23" t="n">
        <v>7</v>
      </c>
      <c r="H22" t="inlineStr">
        <is>
          <t>Scott Beck / Bryan Woods</t>
        </is>
      </c>
      <c r="I22" t="inlineStr">
        <is>
          <t>Estados Unidos</t>
        </is>
      </c>
      <c r="J22" t="inlineStr">
        <is>
          <t>Terror, Thriller</t>
        </is>
      </c>
      <c r="M22" s="6" t="n"/>
      <c r="O22" s="24" t="inlineStr"/>
      <c r="Q22" s="25" t="n">
        <v>10829810</v>
      </c>
      <c r="R22" s="25" t="n">
        <v>27986380</v>
      </c>
      <c r="S22" s="25" t="n">
        <v>32054085</v>
      </c>
      <c r="T22" s="25">
        <f>IF(AND(R22="",S22=""),"",N(R22)+N(S22))</f>
        <v/>
      </c>
      <c r="U22" s="25" t="n"/>
      <c r="V22" s="26" t="inlineStr">
        <is>
          <t>IMDb</t>
        </is>
      </c>
      <c r="W22" s="26" t="inlineStr">
        <is>
          <t>FilmAffinity</t>
        </is>
      </c>
      <c r="X22" s="26" t="inlineStr">
        <is>
          <t>Letterboxd</t>
        </is>
      </c>
    </row>
    <row r="23">
      <c r="A23" t="inlineStr">
        <is>
          <t>p0022</t>
        </is>
      </c>
      <c r="B23" t="inlineStr">
        <is>
          <t>La Sustancia</t>
        </is>
      </c>
      <c r="C23" t="inlineStr">
        <is>
          <t>The Substance</t>
        </is>
      </c>
      <c r="D23" s="4" t="n">
        <v>2024</v>
      </c>
      <c r="E23" s="4">
        <f>IF(D23="","",FLOOR(D23,10))</f>
        <v/>
      </c>
      <c r="F23" s="22" t="n">
        <v>140</v>
      </c>
      <c r="G23" s="23" t="n">
        <v>6.9</v>
      </c>
      <c r="H23" t="inlineStr">
        <is>
          <t>Coralie Fargeat</t>
        </is>
      </c>
      <c r="I23" t="inlineStr">
        <is>
          <t>Reino Unido</t>
        </is>
      </c>
      <c r="J23" t="inlineStr">
        <is>
          <t>Terror, Ciencia ficción</t>
        </is>
      </c>
      <c r="M23" s="6" t="n"/>
      <c r="O23" s="24" t="inlineStr"/>
      <c r="Q23" s="25" t="n">
        <v>3205212</v>
      </c>
      <c r="R23" s="25" t="n">
        <v>17584795</v>
      </c>
      <c r="S23" s="25" t="n">
        <v>59732017</v>
      </c>
      <c r="T23" s="25">
        <f>IF(AND(R23="",S23=""),"",N(R23)+N(S23))</f>
        <v/>
      </c>
      <c r="U23" s="25" t="n">
        <v>18000000</v>
      </c>
      <c r="V23" s="26" t="inlineStr">
        <is>
          <t>IMDb</t>
        </is>
      </c>
      <c r="W23" s="26" t="inlineStr">
        <is>
          <t>FilmAffinity</t>
        </is>
      </c>
      <c r="X23" s="26" t="inlineStr">
        <is>
          <t>Letterboxd</t>
        </is>
      </c>
    </row>
    <row r="24">
      <c r="A24" t="inlineStr">
        <is>
          <t>p0023</t>
        </is>
      </c>
      <c r="B24" t="inlineStr">
        <is>
          <t>Inside Out 2</t>
        </is>
      </c>
      <c r="C24" t="inlineStr">
        <is>
          <t>Inside Out 2</t>
        </is>
      </c>
      <c r="D24" s="4" t="n">
        <v>2024</v>
      </c>
      <c r="E24" s="4">
        <f>IF(D24="","",FLOOR(D24,10))</f>
        <v/>
      </c>
      <c r="F24" s="22" t="n">
        <v>96</v>
      </c>
      <c r="G24" s="23" t="n">
        <v>6.6</v>
      </c>
      <c r="H24" t="inlineStr">
        <is>
          <t>Kelsey Mann</t>
        </is>
      </c>
      <c r="I24" t="inlineStr">
        <is>
          <t>Estados Unidos</t>
        </is>
      </c>
      <c r="J24" t="inlineStr">
        <is>
          <t>Animación, Comedia, Familiar</t>
        </is>
      </c>
      <c r="K24" t="inlineStr">
        <is>
          <t>Inside Out</t>
        </is>
      </c>
      <c r="M24" s="6" t="n"/>
      <c r="O24" s="24" t="inlineStr"/>
      <c r="Q24" s="25" t="n">
        <v>154201673</v>
      </c>
      <c r="R24" s="25" t="n">
        <v>652980194</v>
      </c>
      <c r="S24" s="25" t="n">
        <v>1045883622</v>
      </c>
      <c r="T24" s="25">
        <f>IF(AND(R24="",S24=""),"",N(R24)+N(S24))</f>
        <v/>
      </c>
      <c r="U24" s="25" t="n">
        <v>200000000</v>
      </c>
      <c r="V24" s="26" t="inlineStr">
        <is>
          <t>IMDb</t>
        </is>
      </c>
      <c r="W24" s="26" t="inlineStr">
        <is>
          <t>FilmAffinity</t>
        </is>
      </c>
      <c r="X24" s="26" t="inlineStr">
        <is>
          <t>Letterboxd</t>
        </is>
      </c>
    </row>
    <row r="25">
      <c r="A25" t="inlineStr">
        <is>
          <t>p0024</t>
        </is>
      </c>
      <c r="B25" t="inlineStr">
        <is>
          <t>Bitelchús Bitelchús</t>
        </is>
      </c>
      <c r="C25" t="inlineStr">
        <is>
          <t>Beetlejuice Beetlejuice</t>
        </is>
      </c>
      <c r="D25" s="4" t="n">
        <v>2024</v>
      </c>
      <c r="E25" s="4">
        <f>IF(D25="","",FLOOR(D25,10))</f>
        <v/>
      </c>
      <c r="F25" s="22" t="n">
        <v>104</v>
      </c>
      <c r="G25" s="23" t="n">
        <v>6.5</v>
      </c>
      <c r="H25" t="inlineStr">
        <is>
          <t>Tim Burton</t>
        </is>
      </c>
      <c r="I25" t="inlineStr">
        <is>
          <t>Estados Unidos</t>
        </is>
      </c>
      <c r="J25" t="inlineStr">
        <is>
          <t>Comedia, Fantasía, Terror</t>
        </is>
      </c>
      <c r="K25" t="inlineStr">
        <is>
          <t>Bitelchús</t>
        </is>
      </c>
      <c r="M25" s="6" t="n"/>
      <c r="O25" s="24" t="inlineStr"/>
      <c r="Q25" s="25" t="n">
        <v>111003345</v>
      </c>
      <c r="R25" s="25" t="n">
        <v>294100435</v>
      </c>
      <c r="S25" s="25" t="n">
        <v>157900000</v>
      </c>
      <c r="T25" s="25">
        <f>IF(AND(R25="",S25=""),"",N(R25)+N(S25))</f>
        <v/>
      </c>
      <c r="U25" s="25" t="n"/>
      <c r="V25" s="26" t="inlineStr">
        <is>
          <t>IMDb</t>
        </is>
      </c>
      <c r="W25" s="26" t="inlineStr">
        <is>
          <t>FilmAffinity</t>
        </is>
      </c>
      <c r="X25" s="26" t="inlineStr">
        <is>
          <t>Letterboxd</t>
        </is>
      </c>
    </row>
    <row r="26">
      <c r="A26" t="inlineStr">
        <is>
          <t>p0025</t>
        </is>
      </c>
      <c r="B26" t="inlineStr">
        <is>
          <t>Deadpool &amp; Wolverine</t>
        </is>
      </c>
      <c r="C26" t="inlineStr">
        <is>
          <t>Deadpool &amp; Wolverine</t>
        </is>
      </c>
      <c r="D26" s="4" t="n">
        <v>2024</v>
      </c>
      <c r="E26" s="4">
        <f>IF(D26="","",FLOOR(D26,10))</f>
        <v/>
      </c>
      <c r="F26" s="22" t="n">
        <v>127</v>
      </c>
      <c r="G26" s="23" t="n">
        <v>6.4</v>
      </c>
      <c r="H26" t="inlineStr">
        <is>
          <t>Shawn Levy</t>
        </is>
      </c>
      <c r="I26" t="inlineStr">
        <is>
          <t>Estados Unidos</t>
        </is>
      </c>
      <c r="J26" t="inlineStr">
        <is>
          <t>Superhéroes, Acción, Comedia</t>
        </is>
      </c>
      <c r="K26" t="inlineStr">
        <is>
          <t>UCM</t>
        </is>
      </c>
      <c r="L26" t="inlineStr">
        <is>
          <t>Fase 5 · Saga del Multiverso</t>
        </is>
      </c>
      <c r="M26" s="6" t="n"/>
      <c r="O26" s="24" t="inlineStr"/>
      <c r="Q26" s="25" t="n">
        <v>211435291</v>
      </c>
      <c r="R26" s="25" t="n">
        <v>636745858</v>
      </c>
      <c r="S26" s="25" t="n">
        <v>701327787</v>
      </c>
      <c r="T26" s="25">
        <f>IF(AND(R26="",S26=""),"",N(R26)+N(S26))</f>
        <v/>
      </c>
      <c r="U26" s="25" t="n">
        <v>537000000</v>
      </c>
      <c r="V26" s="26" t="inlineStr">
        <is>
          <t>IMDb</t>
        </is>
      </c>
      <c r="W26" s="26" t="inlineStr">
        <is>
          <t>FilmAffinity</t>
        </is>
      </c>
      <c r="X26" s="26" t="inlineStr">
        <is>
          <t>Letterboxd</t>
        </is>
      </c>
    </row>
    <row r="27">
      <c r="A27" t="inlineStr">
        <is>
          <t>p0026</t>
        </is>
      </c>
      <c r="B27" t="inlineStr">
        <is>
          <t>Strangers: Capítulo 1</t>
        </is>
      </c>
      <c r="C27" t="inlineStr">
        <is>
          <t>The Strangers: Chapter 1</t>
        </is>
      </c>
      <c r="D27" s="4" t="n">
        <v>2024</v>
      </c>
      <c r="E27" s="4">
        <f>IF(D27="","",FLOOR(D27,10))</f>
        <v/>
      </c>
      <c r="F27" s="22" t="n">
        <v>90</v>
      </c>
      <c r="G27" s="23" t="n">
        <v>4.2</v>
      </c>
      <c r="H27" t="inlineStr">
        <is>
          <t>Renny Harlin</t>
        </is>
      </c>
      <c r="I27" t="inlineStr">
        <is>
          <t>Estados Unidos</t>
        </is>
      </c>
      <c r="J27" t="inlineStr">
        <is>
          <t>Terror</t>
        </is>
      </c>
      <c r="K27" t="inlineStr">
        <is>
          <t>The Strangers</t>
        </is>
      </c>
      <c r="M27" s="6" t="n"/>
      <c r="O27" s="24" t="inlineStr"/>
      <c r="Q27" s="25" t="n">
        <v>11825058</v>
      </c>
      <c r="R27" s="25" t="n">
        <v>35202562</v>
      </c>
      <c r="S27" s="25" t="n">
        <v>12963886</v>
      </c>
      <c r="T27" s="25">
        <f>IF(AND(R27="",S27=""),"",N(R27)+N(S27))</f>
        <v/>
      </c>
      <c r="U27" s="25" t="n"/>
      <c r="V27" s="26" t="inlineStr">
        <is>
          <t>IMDb</t>
        </is>
      </c>
      <c r="W27" s="26" t="inlineStr">
        <is>
          <t>FilmAffinity</t>
        </is>
      </c>
      <c r="X27" s="26" t="inlineStr">
        <is>
          <t>Letterboxd</t>
        </is>
      </c>
    </row>
    <row r="28">
      <c r="A28" t="inlineStr">
        <is>
          <t>p0027</t>
        </is>
      </c>
      <c r="B28" t="inlineStr">
        <is>
          <t>Alien: Romulus</t>
        </is>
      </c>
      <c r="C28" t="inlineStr">
        <is>
          <t>Alien: Romulus</t>
        </is>
      </c>
      <c r="D28" s="4" t="n">
        <v>2024</v>
      </c>
      <c r="E28" s="4">
        <f>IF(D28="","",FLOOR(D28,10))</f>
        <v/>
      </c>
      <c r="F28" s="22" t="n">
        <v>119</v>
      </c>
      <c r="G28" s="23" t="n">
        <v>4</v>
      </c>
      <c r="H28" t="inlineStr">
        <is>
          <t>Fede Álvarez</t>
        </is>
      </c>
      <c r="I28" t="inlineStr">
        <is>
          <t>Estados Unidos</t>
        </is>
      </c>
      <c r="J28" t="inlineStr">
        <is>
          <t>Ciencia ficción, Terror</t>
        </is>
      </c>
      <c r="K28" t="inlineStr">
        <is>
          <t>Alien</t>
        </is>
      </c>
      <c r="M28" s="6" t="n"/>
      <c r="O28" s="24" t="inlineStr"/>
      <c r="Q28" s="25" t="n">
        <v>42003361</v>
      </c>
      <c r="R28" s="25" t="n">
        <v>105313091</v>
      </c>
      <c r="S28" s="25" t="n">
        <v>245552251</v>
      </c>
      <c r="T28" s="25">
        <f>IF(AND(R28="",S28=""),"",N(R28)+N(S28))</f>
        <v/>
      </c>
      <c r="U28" s="25" t="n"/>
      <c r="V28" s="26" t="inlineStr">
        <is>
          <t>IMDb</t>
        </is>
      </c>
      <c r="W28" s="26" t="inlineStr">
        <is>
          <t>FilmAffinity</t>
        </is>
      </c>
      <c r="X28" s="26" t="inlineStr">
        <is>
          <t>Letterboxd</t>
        </is>
      </c>
    </row>
    <row r="29">
      <c r="A29" t="inlineStr">
        <is>
          <t>p0028</t>
        </is>
      </c>
      <c r="B29" t="inlineStr">
        <is>
          <t>Godzilla y Kong: El nuevo imperio</t>
        </is>
      </c>
      <c r="C29" t="inlineStr">
        <is>
          <t>Godzilla x Kong: The New Empire</t>
        </is>
      </c>
      <c r="D29" s="4" t="n">
        <v>2024</v>
      </c>
      <c r="E29" s="4">
        <f>IF(D29="","",FLOOR(D29,10))</f>
        <v/>
      </c>
      <c r="F29" s="22" t="n">
        <v>115</v>
      </c>
      <c r="G29" s="23" t="n">
        <v>3.5</v>
      </c>
      <c r="H29" t="inlineStr">
        <is>
          <t>Adam Wingard</t>
        </is>
      </c>
      <c r="I29" t="inlineStr">
        <is>
          <t>Estados Unidos</t>
        </is>
      </c>
      <c r="J29" t="inlineStr">
        <is>
          <t>Acción, Ciencia ficción</t>
        </is>
      </c>
      <c r="M29" s="6" t="n"/>
      <c r="O29" s="24" t="inlineStr"/>
      <c r="Q29" s="25" t="n">
        <v>80006561</v>
      </c>
      <c r="R29" s="25" t="n">
        <v>196350016</v>
      </c>
      <c r="S29" s="25" t="n">
        <v>375700000</v>
      </c>
      <c r="T29" s="25">
        <f>IF(AND(R29="",S29=""),"",N(R29)+N(S29))</f>
        <v/>
      </c>
      <c r="U29" s="25" t="n"/>
      <c r="V29" s="26" t="inlineStr">
        <is>
          <t>IMDb</t>
        </is>
      </c>
      <c r="W29" s="26" t="inlineStr">
        <is>
          <t>FilmAffinity</t>
        </is>
      </c>
      <c r="X29" s="26" t="inlineStr">
        <is>
          <t>Letterboxd</t>
        </is>
      </c>
    </row>
    <row r="30">
      <c r="A30" t="inlineStr">
        <is>
          <t>p0029</t>
        </is>
      </c>
      <c r="B30" t="inlineStr">
        <is>
          <t>Oppenheimer</t>
        </is>
      </c>
      <c r="C30" t="inlineStr">
        <is>
          <t>Oppenheimer</t>
        </is>
      </c>
      <c r="D30" s="4" t="n">
        <v>2023</v>
      </c>
      <c r="E30" s="4">
        <f>IF(D30="","",FLOOR(D30,10))</f>
        <v/>
      </c>
      <c r="F30" s="22" t="n">
        <v>180</v>
      </c>
      <c r="G30" s="23" t="n">
        <v>8.199999999999999</v>
      </c>
      <c r="H30" t="inlineStr">
        <is>
          <t>Christopher Nolan</t>
        </is>
      </c>
      <c r="I30" t="inlineStr">
        <is>
          <t>Estados Unidos</t>
        </is>
      </c>
      <c r="J30" t="inlineStr">
        <is>
          <t>Biográfico, Drama, Histórico</t>
        </is>
      </c>
      <c r="M30" s="6" t="n"/>
      <c r="O30" s="24" t="inlineStr"/>
      <c r="Q30" s="25" t="n">
        <v>82455420</v>
      </c>
      <c r="R30" s="25" t="n">
        <v>330078895</v>
      </c>
      <c r="S30" s="25" t="n">
        <v>645732438</v>
      </c>
      <c r="T30" s="25">
        <f>IF(AND(R30="",S30=""),"",N(R30)+N(S30))</f>
        <v/>
      </c>
      <c r="U30" s="25" t="n"/>
      <c r="V30" s="26" t="inlineStr">
        <is>
          <t>IMDb</t>
        </is>
      </c>
      <c r="W30" s="26" t="inlineStr">
        <is>
          <t>FilmAffinity</t>
        </is>
      </c>
      <c r="X30" s="26" t="inlineStr">
        <is>
          <t>Letterboxd</t>
        </is>
      </c>
    </row>
    <row r="31">
      <c r="A31" t="inlineStr">
        <is>
          <t>p0030</t>
        </is>
      </c>
      <c r="B31" t="inlineStr">
        <is>
          <t>Spider-Man: Cruzando el Universo</t>
        </is>
      </c>
      <c r="C31" t="inlineStr">
        <is>
          <t>Spider-Man: Across the Spider-Verse</t>
        </is>
      </c>
      <c r="D31" s="4" t="n">
        <v>2023</v>
      </c>
      <c r="E31" s="4">
        <f>IF(D31="","",FLOOR(D31,10))</f>
        <v/>
      </c>
      <c r="F31" s="22" t="n">
        <v>140</v>
      </c>
      <c r="G31" s="23" t="n">
        <v>8.1</v>
      </c>
      <c r="H31" t="inlineStr">
        <is>
          <t>Joaquim Dos Santos / Kemp Powers / Justin Thompson</t>
        </is>
      </c>
      <c r="I31" t="inlineStr">
        <is>
          <t>Estados Unidos</t>
        </is>
      </c>
      <c r="J31" t="inlineStr">
        <is>
          <t>Animación, Superhéroes, Acción</t>
        </is>
      </c>
      <c r="K31" t="inlineStr">
        <is>
          <t>Spider-Man</t>
        </is>
      </c>
      <c r="M31" s="6" t="n"/>
      <c r="O31" s="24" t="inlineStr"/>
      <c r="Q31" s="25" t="n">
        <v>120663589</v>
      </c>
      <c r="R31" s="25" t="n">
        <v>381593754</v>
      </c>
      <c r="S31" s="25" t="n">
        <v>309230984</v>
      </c>
      <c r="T31" s="25">
        <f>IF(AND(R31="",S31=""),"",N(R31)+N(S31))</f>
        <v/>
      </c>
      <c r="U31" s="25" t="n">
        <v>150000000</v>
      </c>
      <c r="V31" s="26" t="inlineStr">
        <is>
          <t>IMDb</t>
        </is>
      </c>
      <c r="W31" s="26" t="inlineStr">
        <is>
          <t>FilmAffinity</t>
        </is>
      </c>
      <c r="X31" s="26" t="inlineStr">
        <is>
          <t>Letterboxd</t>
        </is>
      </c>
    </row>
    <row r="32">
      <c r="A32" t="inlineStr">
        <is>
          <t>p0031</t>
        </is>
      </c>
      <c r="B32" t="inlineStr">
        <is>
          <t>Barbie</t>
        </is>
      </c>
      <c r="C32" t="inlineStr">
        <is>
          <t>Barbie</t>
        </is>
      </c>
      <c r="D32" s="4" t="n">
        <v>2023</v>
      </c>
      <c r="E32" s="4">
        <f>IF(D32="","",FLOOR(D32,10))</f>
        <v/>
      </c>
      <c r="F32" s="22" t="n">
        <v>114</v>
      </c>
      <c r="G32" s="23" t="n">
        <v>7.8</v>
      </c>
      <c r="H32" t="inlineStr">
        <is>
          <t>Greta Gerwig</t>
        </is>
      </c>
      <c r="I32" t="inlineStr">
        <is>
          <t>Estados Unidos</t>
        </is>
      </c>
      <c r="J32" t="inlineStr">
        <is>
          <t>Comedia, Fantasía</t>
        </is>
      </c>
      <c r="M32" s="6" t="n"/>
      <c r="O32" s="24" t="inlineStr"/>
      <c r="Q32" s="25" t="n">
        <v>162022044</v>
      </c>
      <c r="R32" s="25" t="n">
        <v>636238421</v>
      </c>
      <c r="S32" s="25" t="n">
        <v>810900000</v>
      </c>
      <c r="T32" s="25">
        <f>IF(AND(R32="",S32=""),"",N(R32)+N(S32))</f>
        <v/>
      </c>
      <c r="U32" s="25" t="n">
        <v>128000000</v>
      </c>
      <c r="V32" s="26" t="inlineStr">
        <is>
          <t>IMDb</t>
        </is>
      </c>
      <c r="W32" s="26" t="inlineStr">
        <is>
          <t>FilmAffinity</t>
        </is>
      </c>
      <c r="X32" s="26" t="inlineStr">
        <is>
          <t>Letterboxd</t>
        </is>
      </c>
    </row>
    <row r="33">
      <c r="A33" t="inlineStr">
        <is>
          <t>p0032</t>
        </is>
      </c>
      <c r="B33" t="inlineStr">
        <is>
          <t>Saben aquell</t>
        </is>
      </c>
      <c r="C33" t="inlineStr">
        <is>
          <t>Saben aquell</t>
        </is>
      </c>
      <c r="D33" s="4" t="n">
        <v>2023</v>
      </c>
      <c r="E33" s="4">
        <f>IF(D33="","",FLOOR(D33,10))</f>
        <v/>
      </c>
      <c r="F33" s="22" t="n">
        <v>109</v>
      </c>
      <c r="G33" s="23" t="n">
        <v>7.2</v>
      </c>
      <c r="H33" t="inlineStr">
        <is>
          <t>David Trueba</t>
        </is>
      </c>
      <c r="I33" t="inlineStr">
        <is>
          <t>España</t>
        </is>
      </c>
      <c r="J33" t="inlineStr">
        <is>
          <t>Biográfico, Comedia, Drama</t>
        </is>
      </c>
      <c r="M33" s="6" t="n"/>
      <c r="O33" s="24" t="inlineStr"/>
      <c r="Q33" s="25" t="n"/>
      <c r="R33" s="25" t="n"/>
      <c r="S33" s="25" t="n">
        <v>982894</v>
      </c>
      <c r="T33" s="25">
        <f>IF(AND(R33="",S33=""),"",N(R33)+N(S33))</f>
        <v/>
      </c>
      <c r="U33" s="25" t="n"/>
      <c r="V33" s="26" t="inlineStr">
        <is>
          <t>IMDb</t>
        </is>
      </c>
      <c r="W33" s="26" t="inlineStr">
        <is>
          <t>FilmAffinity</t>
        </is>
      </c>
      <c r="X33" s="26" t="inlineStr">
        <is>
          <t>Letterboxd</t>
        </is>
      </c>
    </row>
    <row r="34">
      <c r="A34" t="inlineStr">
        <is>
          <t>p0033</t>
        </is>
      </c>
      <c r="B34" t="inlineStr">
        <is>
          <t>Misión imposible: sentencia mortal - Parte 1</t>
        </is>
      </c>
      <c r="C34" t="inlineStr">
        <is>
          <t>Mission: Impossible – Dead Reckoning Part One</t>
        </is>
      </c>
      <c r="D34" s="4" t="n">
        <v>2023</v>
      </c>
      <c r="E34" s="4">
        <f>IF(D34="","",FLOOR(D34,10))</f>
        <v/>
      </c>
      <c r="F34" s="22" t="n">
        <v>163</v>
      </c>
      <c r="G34" s="23" t="n">
        <v>7.1</v>
      </c>
      <c r="H34" t="inlineStr">
        <is>
          <t>Christopher McQuarrie</t>
        </is>
      </c>
      <c r="I34" t="inlineStr">
        <is>
          <t>Estados Unidos</t>
        </is>
      </c>
      <c r="J34" t="inlineStr">
        <is>
          <t>Acción, Thriller</t>
        </is>
      </c>
      <c r="K34" t="inlineStr">
        <is>
          <t>Misión Imposible</t>
        </is>
      </c>
      <c r="M34" s="6" t="n"/>
      <c r="O34" s="24" t="inlineStr"/>
      <c r="Q34" s="25" t="n">
        <v>54688347</v>
      </c>
      <c r="R34" s="25" t="n">
        <v>172640980</v>
      </c>
      <c r="S34" s="25" t="n">
        <v>398484455</v>
      </c>
      <c r="T34" s="25">
        <f>IF(AND(R34="",S34=""),"",N(R34)+N(S34))</f>
        <v/>
      </c>
      <c r="U34" s="25" t="n">
        <v>291000000</v>
      </c>
      <c r="V34" s="26" t="inlineStr">
        <is>
          <t>IMDb</t>
        </is>
      </c>
      <c r="W34" s="26" t="inlineStr">
        <is>
          <t>FilmAffinity</t>
        </is>
      </c>
      <c r="X34" s="26" t="inlineStr">
        <is>
          <t>Letterboxd</t>
        </is>
      </c>
    </row>
    <row r="35">
      <c r="A35" t="inlineStr">
        <is>
          <t>p0034</t>
        </is>
      </c>
      <c r="B35" t="inlineStr">
        <is>
          <t>Super Mario Bros</t>
        </is>
      </c>
      <c r="C35" t="inlineStr">
        <is>
          <t>The Super Mario Bros. Movie</t>
        </is>
      </c>
      <c r="D35" s="4" t="n">
        <v>2023</v>
      </c>
      <c r="E35" s="4">
        <f>IF(D35="","",FLOOR(D35,10))</f>
        <v/>
      </c>
      <c r="F35" s="22" t="n">
        <v>92</v>
      </c>
      <c r="G35" s="23" t="n">
        <v>5.8</v>
      </c>
      <c r="H35" t="inlineStr">
        <is>
          <t>Aaron Horvath / Michael Jelenic</t>
        </is>
      </c>
      <c r="I35" t="inlineStr">
        <is>
          <t>Estados Unidos</t>
        </is>
      </c>
      <c r="J35" t="inlineStr">
        <is>
          <t>Animación, Aventura, Comedia</t>
        </is>
      </c>
      <c r="K35" t="inlineStr">
        <is>
          <t>Super Mario</t>
        </is>
      </c>
      <c r="M35" s="6" t="n"/>
      <c r="O35" s="24" t="inlineStr"/>
      <c r="Q35" s="25" t="n">
        <v>146361865</v>
      </c>
      <c r="R35" s="25" t="n">
        <v>574934330</v>
      </c>
      <c r="S35" s="25" t="n">
        <v>785848884</v>
      </c>
      <c r="T35" s="25">
        <f>IF(AND(R35="",S35=""),"",N(R35)+N(S35))</f>
        <v/>
      </c>
      <c r="U35" s="25" t="n">
        <v>100000000</v>
      </c>
      <c r="V35" s="26" t="inlineStr">
        <is>
          <t>IMDb</t>
        </is>
      </c>
      <c r="W35" s="26" t="inlineStr">
        <is>
          <t>FilmAffinity</t>
        </is>
      </c>
      <c r="X35" s="26" t="inlineStr">
        <is>
          <t>Letterboxd</t>
        </is>
      </c>
    </row>
    <row r="36">
      <c r="A36" t="inlineStr">
        <is>
          <t>p0035</t>
        </is>
      </c>
      <c r="B36" t="inlineStr">
        <is>
          <t>Guardianes de la Galaxia Vol. 3</t>
        </is>
      </c>
      <c r="C36" t="inlineStr">
        <is>
          <t>Guardians of the Galaxy Vol. 3</t>
        </is>
      </c>
      <c r="D36" s="4" t="n">
        <v>2023</v>
      </c>
      <c r="E36" s="4">
        <f>IF(D36="","",FLOOR(D36,10))</f>
        <v/>
      </c>
      <c r="F36" s="22" t="n">
        <v>150</v>
      </c>
      <c r="G36" s="23" t="n">
        <v>5</v>
      </c>
      <c r="H36" t="inlineStr">
        <is>
          <t>James Gunn</t>
        </is>
      </c>
      <c r="I36" t="inlineStr">
        <is>
          <t>Estados Unidos</t>
        </is>
      </c>
      <c r="J36" t="inlineStr">
        <is>
          <t>Superhéroes, Ciencia ficción, Acción</t>
        </is>
      </c>
      <c r="K36" t="inlineStr">
        <is>
          <t>UCM</t>
        </is>
      </c>
      <c r="L36" t="inlineStr">
        <is>
          <t>Fase 5 · Saga del Multiverso</t>
        </is>
      </c>
      <c r="M36" s="6" t="n"/>
      <c r="O36" s="24" t="inlineStr"/>
      <c r="Q36" s="25" t="n">
        <v>118414021</v>
      </c>
      <c r="R36" s="25" t="n">
        <v>358995815</v>
      </c>
      <c r="S36" s="25" t="n">
        <v>486559962</v>
      </c>
      <c r="T36" s="25">
        <f>IF(AND(R36="",S36=""),"",N(R36)+N(S36))</f>
        <v/>
      </c>
      <c r="U36" s="25" t="n">
        <v>250000000</v>
      </c>
      <c r="V36" s="26" t="inlineStr">
        <is>
          <t>IMDb</t>
        </is>
      </c>
      <c r="W36" s="26" t="inlineStr">
        <is>
          <t>FilmAffinity</t>
        </is>
      </c>
      <c r="X36" s="26" t="inlineStr">
        <is>
          <t>Letterboxd</t>
        </is>
      </c>
    </row>
    <row r="37">
      <c r="A37" t="inlineStr">
        <is>
          <t>p0036</t>
        </is>
      </c>
      <c r="B37" t="inlineStr">
        <is>
          <t>La Monja II</t>
        </is>
      </c>
      <c r="C37" t="inlineStr">
        <is>
          <t>The Nun II</t>
        </is>
      </c>
      <c r="D37" s="4" t="n">
        <v>2023</v>
      </c>
      <c r="E37" s="4">
        <f>IF(D37="","",FLOOR(D37,10))</f>
        <v/>
      </c>
      <c r="F37" s="22" t="n">
        <v>110</v>
      </c>
      <c r="G37" s="23" t="n">
        <v>5</v>
      </c>
      <c r="H37" t="inlineStr">
        <is>
          <t>Michael Chaves</t>
        </is>
      </c>
      <c r="I37" t="inlineStr">
        <is>
          <t>Estados Unidos</t>
        </is>
      </c>
      <c r="J37" t="inlineStr">
        <is>
          <t>Terror</t>
        </is>
      </c>
      <c r="K37" t="inlineStr">
        <is>
          <t>Universo Expediente Warren</t>
        </is>
      </c>
      <c r="M37" s="6" t="n"/>
      <c r="O37" s="24" t="inlineStr"/>
      <c r="Q37" s="25" t="n">
        <v>32603336</v>
      </c>
      <c r="R37" s="25" t="n">
        <v>86267073</v>
      </c>
      <c r="S37" s="25" t="n">
        <v>183400000</v>
      </c>
      <c r="T37" s="25">
        <f>IF(AND(R37="",S37=""),"",N(R37)+N(S37))</f>
        <v/>
      </c>
      <c r="U37" s="25" t="n"/>
      <c r="V37" s="26" t="inlineStr">
        <is>
          <t>IMDb</t>
        </is>
      </c>
      <c r="W37" s="26" t="inlineStr">
        <is>
          <t>FilmAffinity</t>
        </is>
      </c>
      <c r="X37" s="26" t="inlineStr">
        <is>
          <t>Letterboxd</t>
        </is>
      </c>
    </row>
    <row r="38">
      <c r="A38" t="inlineStr">
        <is>
          <t>p0037</t>
        </is>
      </c>
      <c r="B38" t="inlineStr">
        <is>
          <t>Hermana Muerte</t>
        </is>
      </c>
      <c r="C38" t="inlineStr">
        <is>
          <t>Hermana Muerte</t>
        </is>
      </c>
      <c r="D38" s="4" t="n">
        <v>2023</v>
      </c>
      <c r="E38" s="4">
        <f>IF(D38="","",FLOOR(D38,10))</f>
        <v/>
      </c>
      <c r="F38" s="22" t="n">
        <v>91</v>
      </c>
      <c r="G38" s="23" t="n">
        <v>4.7</v>
      </c>
      <c r="H38" t="inlineStr">
        <is>
          <t>Paco Plaza</t>
        </is>
      </c>
      <c r="I38" t="inlineStr">
        <is>
          <t>España</t>
        </is>
      </c>
      <c r="J38" t="inlineStr">
        <is>
          <t>Terror</t>
        </is>
      </c>
      <c r="M38" s="6" t="n"/>
      <c r="O38" s="24" t="inlineStr"/>
      <c r="Q38" s="25" t="n"/>
      <c r="R38" s="25" t="n"/>
      <c r="S38" s="25" t="n"/>
      <c r="T38" s="25">
        <f>IF(AND(R38="",S38=""),"",N(R38)+N(S38))</f>
        <v/>
      </c>
      <c r="U38" s="25" t="n"/>
      <c r="V38" s="26" t="inlineStr">
        <is>
          <t>IMDb</t>
        </is>
      </c>
      <c r="W38" s="26" t="inlineStr">
        <is>
          <t>FilmAffinity</t>
        </is>
      </c>
      <c r="X38" s="26" t="inlineStr">
        <is>
          <t>Letterboxd</t>
        </is>
      </c>
    </row>
    <row r="39">
      <c r="A39" t="inlineStr">
        <is>
          <t>p0038</t>
        </is>
      </c>
      <c r="B39" t="inlineStr">
        <is>
          <t>Insidious: La Puerta Roja</t>
        </is>
      </c>
      <c r="C39" t="inlineStr">
        <is>
          <t>Insidious: The Red Door</t>
        </is>
      </c>
      <c r="D39" s="4" t="n">
        <v>2023</v>
      </c>
      <c r="E39" s="4">
        <f>IF(D39="","",FLOOR(D39,10))</f>
        <v/>
      </c>
      <c r="F39" s="22" t="n">
        <v>107</v>
      </c>
      <c r="G39" s="23" t="n">
        <v>4.5</v>
      </c>
      <c r="H39" t="inlineStr">
        <is>
          <t>Patrick Wilson</t>
        </is>
      </c>
      <c r="I39" t="inlineStr">
        <is>
          <t>Estados Unidos</t>
        </is>
      </c>
      <c r="J39" t="inlineStr">
        <is>
          <t>Terror</t>
        </is>
      </c>
      <c r="K39" t="inlineStr">
        <is>
          <t>Insidious</t>
        </is>
      </c>
      <c r="M39" s="6" t="n"/>
      <c r="O39" s="24" t="inlineStr"/>
      <c r="Q39" s="25" t="n">
        <v>33013036</v>
      </c>
      <c r="R39" s="25" t="n">
        <v>82156962</v>
      </c>
      <c r="S39" s="25" t="n">
        <v>106929915</v>
      </c>
      <c r="T39" s="25">
        <f>IF(AND(R39="",S39=""),"",N(R39)+N(S39))</f>
        <v/>
      </c>
      <c r="U39" s="25" t="n"/>
      <c r="V39" s="26" t="inlineStr">
        <is>
          <t>IMDb</t>
        </is>
      </c>
      <c r="W39" s="26" t="inlineStr">
        <is>
          <t>FilmAffinity</t>
        </is>
      </c>
      <c r="X39" s="26" t="inlineStr">
        <is>
          <t>Letterboxd</t>
        </is>
      </c>
    </row>
    <row r="40">
      <c r="A40" t="inlineStr">
        <is>
          <t>p0039</t>
        </is>
      </c>
      <c r="B40" t="inlineStr">
        <is>
          <t>Ant-Man y la Avispa: Quantumanía</t>
        </is>
      </c>
      <c r="C40" t="inlineStr">
        <is>
          <t>Ant-Man and the Wasp: Quantumania</t>
        </is>
      </c>
      <c r="D40" s="4" t="n">
        <v>2023</v>
      </c>
      <c r="E40" s="4">
        <f>IF(D40="","",FLOOR(D40,10))</f>
        <v/>
      </c>
      <c r="F40" s="22" t="n">
        <v>125</v>
      </c>
      <c r="G40" s="23" t="n">
        <v>3.8</v>
      </c>
      <c r="H40" t="inlineStr">
        <is>
          <t>Peyton Reed</t>
        </is>
      </c>
      <c r="I40" t="inlineStr">
        <is>
          <t>Estados Unidos</t>
        </is>
      </c>
      <c r="J40" t="inlineStr">
        <is>
          <t>Superhéroes, Ciencia ficción</t>
        </is>
      </c>
      <c r="K40" t="inlineStr">
        <is>
          <t>UCM</t>
        </is>
      </c>
      <c r="L40" t="inlineStr">
        <is>
          <t>Fase 5 · Saga del Multiverso</t>
        </is>
      </c>
      <c r="M40" s="6" t="n"/>
      <c r="O40" s="24" t="inlineStr"/>
      <c r="Q40" s="25" t="n">
        <v>106109650</v>
      </c>
      <c r="R40" s="25" t="n">
        <v>214504909</v>
      </c>
      <c r="S40" s="25" t="n">
        <v>261566271</v>
      </c>
      <c r="T40" s="25">
        <f>IF(AND(R40="",S40=""),"",N(R40)+N(S40))</f>
        <v/>
      </c>
      <c r="U40" s="25" t="n">
        <v>330100000</v>
      </c>
      <c r="V40" s="26" t="inlineStr">
        <is>
          <t>IMDb</t>
        </is>
      </c>
      <c r="W40" s="26" t="inlineStr">
        <is>
          <t>FilmAffinity</t>
        </is>
      </c>
      <c r="X40" s="26" t="inlineStr">
        <is>
          <t>Letterboxd</t>
        </is>
      </c>
    </row>
    <row r="41">
      <c r="A41" t="inlineStr">
        <is>
          <t>p0040</t>
        </is>
      </c>
      <c r="B41" t="inlineStr">
        <is>
          <t>El Exorcista: Creyente</t>
        </is>
      </c>
      <c r="C41" t="inlineStr">
        <is>
          <t>The Exorcist: Believer</t>
        </is>
      </c>
      <c r="D41" s="4" t="n">
        <v>2023</v>
      </c>
      <c r="E41" s="4">
        <f>IF(D41="","",FLOOR(D41,10))</f>
        <v/>
      </c>
      <c r="F41" s="22" t="n">
        <v>111</v>
      </c>
      <c r="G41" s="23" t="n">
        <v>3.4</v>
      </c>
      <c r="H41" t="inlineStr">
        <is>
          <t>David Gordon Green</t>
        </is>
      </c>
      <c r="I41" t="inlineStr">
        <is>
          <t>Estados Unidos</t>
        </is>
      </c>
      <c r="J41" t="inlineStr">
        <is>
          <t>Terror</t>
        </is>
      </c>
      <c r="M41" s="6" t="n"/>
      <c r="O41" s="24" t="inlineStr"/>
      <c r="Q41" s="25" t="n">
        <v>26497600</v>
      </c>
      <c r="R41" s="25" t="n">
        <v>65537395</v>
      </c>
      <c r="S41" s="25" t="n">
        <v>70757212</v>
      </c>
      <c r="T41" s="25">
        <f>IF(AND(R41="",S41=""),"",N(R41)+N(S41))</f>
        <v/>
      </c>
      <c r="U41" s="25" t="n"/>
      <c r="V41" s="26" t="inlineStr">
        <is>
          <t>IMDb</t>
        </is>
      </c>
      <c r="W41" s="26" t="inlineStr">
        <is>
          <t>FilmAffinity</t>
        </is>
      </c>
      <c r="X41" s="26" t="inlineStr">
        <is>
          <t>Letterboxd</t>
        </is>
      </c>
    </row>
    <row r="42">
      <c r="A42" t="inlineStr">
        <is>
          <t>p0041</t>
        </is>
      </c>
      <c r="B42" t="inlineStr">
        <is>
          <t>The Marvels</t>
        </is>
      </c>
      <c r="C42" t="inlineStr">
        <is>
          <t>The Marvels</t>
        </is>
      </c>
      <c r="D42" s="4" t="n">
        <v>2023</v>
      </c>
      <c r="E42" s="4">
        <f>IF(D42="","",FLOOR(D42,10))</f>
        <v/>
      </c>
      <c r="F42" s="22" t="n">
        <v>105</v>
      </c>
      <c r="G42" s="23" t="n">
        <v>3</v>
      </c>
      <c r="H42" t="inlineStr">
        <is>
          <t>Nia DaCosta</t>
        </is>
      </c>
      <c r="I42" t="inlineStr">
        <is>
          <t>Estados Unidos</t>
        </is>
      </c>
      <c r="J42" t="inlineStr">
        <is>
          <t>Superhéroes, Ciencia ficción</t>
        </is>
      </c>
      <c r="K42" t="inlineStr">
        <is>
          <t>UCM</t>
        </is>
      </c>
      <c r="L42" t="inlineStr">
        <is>
          <t>Fase 5 · Saga del Multiverso</t>
        </is>
      </c>
      <c r="M42" s="6" t="n"/>
      <c r="O42" s="24" t="inlineStr"/>
      <c r="Q42" s="25" t="n">
        <v>46110859</v>
      </c>
      <c r="R42" s="25" t="n">
        <v>84500223</v>
      </c>
      <c r="S42" s="25" t="n">
        <v>121636602</v>
      </c>
      <c r="T42" s="25">
        <f>IF(AND(R42="",S42=""),"",N(R42)+N(S42))</f>
        <v/>
      </c>
      <c r="U42" s="25" t="n">
        <v>307300000</v>
      </c>
      <c r="V42" s="26" t="inlineStr">
        <is>
          <t>IMDb</t>
        </is>
      </c>
      <c r="W42" s="26" t="inlineStr">
        <is>
          <t>FilmAffinity</t>
        </is>
      </c>
      <c r="X42" s="26" t="inlineStr">
        <is>
          <t>Letterboxd</t>
        </is>
      </c>
    </row>
    <row r="43">
      <c r="A43" t="inlineStr">
        <is>
          <t>p0042</t>
        </is>
      </c>
      <c r="B43" t="inlineStr">
        <is>
          <t>Vida Perra</t>
        </is>
      </c>
      <c r="C43" t="inlineStr">
        <is>
          <t>Strays</t>
        </is>
      </c>
      <c r="D43" s="4" t="n">
        <v>2023</v>
      </c>
      <c r="E43" s="4">
        <f>IF(D43="","",FLOOR(D43,10))</f>
        <v/>
      </c>
      <c r="F43" s="22" t="n">
        <v>93</v>
      </c>
      <c r="G43" s="23" t="n">
        <v>2.8</v>
      </c>
      <c r="H43" t="inlineStr">
        <is>
          <t>Josh Greenbaum</t>
        </is>
      </c>
      <c r="I43" t="inlineStr">
        <is>
          <t>Estados Unidos</t>
        </is>
      </c>
      <c r="J43" t="inlineStr">
        <is>
          <t>Comedia</t>
        </is>
      </c>
      <c r="M43" s="6" t="n"/>
      <c r="O43" s="24" t="inlineStr"/>
      <c r="Q43" s="25" t="n">
        <v>8247810</v>
      </c>
      <c r="R43" s="25" t="n">
        <v>23988885</v>
      </c>
      <c r="S43" s="25" t="n">
        <v>12082382</v>
      </c>
      <c r="T43" s="25">
        <f>IF(AND(R43="",S43=""),"",N(R43)+N(S43))</f>
        <v/>
      </c>
      <c r="U43" s="25" t="n"/>
      <c r="V43" s="26" t="inlineStr">
        <is>
          <t>IMDb</t>
        </is>
      </c>
      <c r="W43" s="26" t="inlineStr">
        <is>
          <t>FilmAffinity</t>
        </is>
      </c>
      <c r="X43" s="26" t="inlineStr">
        <is>
          <t>Letterboxd</t>
        </is>
      </c>
    </row>
    <row r="44">
      <c r="A44" t="inlineStr">
        <is>
          <t>p0043</t>
        </is>
      </c>
      <c r="B44" t="inlineStr">
        <is>
          <t>Campeonex</t>
        </is>
      </c>
      <c r="C44" t="inlineStr">
        <is>
          <t>Campeonex</t>
        </is>
      </c>
      <c r="D44" s="4" t="n">
        <v>2023</v>
      </c>
      <c r="E44" s="4">
        <f>IF(D44="","",FLOOR(D44,10))</f>
        <v/>
      </c>
      <c r="F44" s="22" t="n">
        <v>124</v>
      </c>
      <c r="G44" s="23" t="n">
        <v>2.5</v>
      </c>
      <c r="H44" t="inlineStr">
        <is>
          <t>Javier Fesser</t>
        </is>
      </c>
      <c r="I44" t="inlineStr">
        <is>
          <t>España</t>
        </is>
      </c>
      <c r="J44" t="inlineStr">
        <is>
          <t>Comedia</t>
        </is>
      </c>
      <c r="M44" s="6" t="n"/>
      <c r="O44" s="24" t="inlineStr"/>
      <c r="Q44" s="25" t="n"/>
      <c r="R44" s="25" t="n"/>
      <c r="S44" s="25" t="n">
        <v>12904154</v>
      </c>
      <c r="T44" s="25">
        <f>IF(AND(R44="",S44=""),"",N(R44)+N(S44))</f>
        <v/>
      </c>
      <c r="U44" s="25" t="n"/>
      <c r="V44" s="26" t="inlineStr">
        <is>
          <t>IMDb</t>
        </is>
      </c>
      <c r="W44" s="26" t="inlineStr">
        <is>
          <t>FilmAffinity</t>
        </is>
      </c>
      <c r="X44" s="26" t="inlineStr">
        <is>
          <t>Letterboxd</t>
        </is>
      </c>
    </row>
    <row r="45">
      <c r="A45" t="inlineStr">
        <is>
          <t>p0044</t>
        </is>
      </c>
      <c r="B45" t="inlineStr">
        <is>
          <t>As bestas</t>
        </is>
      </c>
      <c r="C45" t="inlineStr">
        <is>
          <t>As bestas</t>
        </is>
      </c>
      <c r="D45" s="4" t="n">
        <v>2022</v>
      </c>
      <c r="E45" s="4">
        <f>IF(D45="","",FLOOR(D45,10))</f>
        <v/>
      </c>
      <c r="F45" s="22" t="n">
        <v>137</v>
      </c>
      <c r="G45" s="23" t="n">
        <v>7.9</v>
      </c>
      <c r="H45" t="inlineStr">
        <is>
          <t>Rodrigo Sorogoyen</t>
        </is>
      </c>
      <c r="I45" t="inlineStr">
        <is>
          <t>España</t>
        </is>
      </c>
      <c r="J45" t="inlineStr">
        <is>
          <t>Thriller, Drama</t>
        </is>
      </c>
      <c r="M45" s="6" t="n"/>
      <c r="O45" s="24" t="inlineStr"/>
      <c r="Q45" s="25" t="n">
        <v>4248</v>
      </c>
      <c r="R45" s="25" t="n">
        <v>46105</v>
      </c>
      <c r="S45" s="25" t="n">
        <v>10021791</v>
      </c>
      <c r="T45" s="25">
        <f>IF(AND(R45="",S45=""),"",N(R45)+N(S45))</f>
        <v/>
      </c>
      <c r="U45" s="25" t="n"/>
      <c r="V45" s="26" t="inlineStr">
        <is>
          <t>IMDb</t>
        </is>
      </c>
      <c r="W45" s="26" t="inlineStr">
        <is>
          <t>FilmAffinity</t>
        </is>
      </c>
      <c r="X45" s="26" t="inlineStr">
        <is>
          <t>Letterboxd</t>
        </is>
      </c>
    </row>
    <row r="46">
      <c r="A46" t="inlineStr">
        <is>
          <t>p0045</t>
        </is>
      </c>
      <c r="B46" t="inlineStr">
        <is>
          <t>The Batman</t>
        </is>
      </c>
      <c r="C46" t="inlineStr">
        <is>
          <t>The Batman</t>
        </is>
      </c>
      <c r="D46" s="4" t="n">
        <v>2022</v>
      </c>
      <c r="E46" s="4">
        <f>IF(D46="","",FLOOR(D46,10))</f>
        <v/>
      </c>
      <c r="F46" s="22" t="n">
        <v>175</v>
      </c>
      <c r="G46" s="23" t="n">
        <v>7.8</v>
      </c>
      <c r="H46" t="inlineStr">
        <is>
          <t>Matt Reeves</t>
        </is>
      </c>
      <c r="I46" t="inlineStr">
        <is>
          <t>Estados Unidos</t>
        </is>
      </c>
      <c r="J46" t="inlineStr">
        <is>
          <t>Superhéroes, Crimen, Thriller</t>
        </is>
      </c>
      <c r="K46" t="inlineStr">
        <is>
          <t>Batman</t>
        </is>
      </c>
      <c r="M46" s="6" t="n"/>
      <c r="O46" s="24" t="inlineStr"/>
      <c r="Q46" s="25" t="n">
        <v>134008624</v>
      </c>
      <c r="R46" s="25" t="n">
        <v>369801546</v>
      </c>
      <c r="S46" s="25" t="n">
        <v>402973732</v>
      </c>
      <c r="T46" s="25">
        <f>IF(AND(R46="",S46=""),"",N(R46)+N(S46))</f>
        <v/>
      </c>
      <c r="U46" s="25" t="n">
        <v>200000000</v>
      </c>
      <c r="V46" s="26" t="inlineStr">
        <is>
          <t>IMDb</t>
        </is>
      </c>
      <c r="W46" s="26" t="inlineStr">
        <is>
          <t>FilmAffinity</t>
        </is>
      </c>
      <c r="X46" s="26" t="inlineStr">
        <is>
          <t>Letterboxd</t>
        </is>
      </c>
    </row>
    <row r="47">
      <c r="A47" t="inlineStr">
        <is>
          <t>p0046</t>
        </is>
      </c>
      <c r="B47" t="inlineStr">
        <is>
          <t>Puñales por la Espalda: El Misterio de Glass Onion</t>
        </is>
      </c>
      <c r="C47" t="inlineStr">
        <is>
          <t>Glass Onion: A Knives Out Mystery</t>
        </is>
      </c>
      <c r="D47" s="4" t="n">
        <v>2022</v>
      </c>
      <c r="E47" s="4">
        <f>IF(D47="","",FLOOR(D47,10))</f>
        <v/>
      </c>
      <c r="F47" s="22" t="n">
        <v>139</v>
      </c>
      <c r="G47" s="23" t="n">
        <v>7.7</v>
      </c>
      <c r="H47" t="inlineStr">
        <is>
          <t>Rian Johnson</t>
        </is>
      </c>
      <c r="I47" t="inlineStr">
        <is>
          <t>Estados Unidos</t>
        </is>
      </c>
      <c r="J47" t="inlineStr">
        <is>
          <t>Misterio, Comedia, Crimen</t>
        </is>
      </c>
      <c r="K47" t="inlineStr">
        <is>
          <t>Puñales por la espalda</t>
        </is>
      </c>
      <c r="M47" s="6" t="n"/>
      <c r="O47" s="24" t="inlineStr"/>
      <c r="Q47" s="25" t="n">
        <v>9400000</v>
      </c>
      <c r="R47" s="25" t="n">
        <v>13280000</v>
      </c>
      <c r="S47" s="25" t="n"/>
      <c r="T47" s="25">
        <f>IF(AND(R47="",S47=""),"",N(R47)+N(S47))</f>
        <v/>
      </c>
      <c r="U47" s="25" t="n"/>
      <c r="V47" s="26" t="inlineStr">
        <is>
          <t>IMDb</t>
        </is>
      </c>
      <c r="W47" s="26" t="inlineStr">
        <is>
          <t>FilmAffinity</t>
        </is>
      </c>
      <c r="X47" s="26" t="inlineStr">
        <is>
          <t>Letterboxd</t>
        </is>
      </c>
    </row>
    <row r="48">
      <c r="A48" t="inlineStr">
        <is>
          <t>p0047</t>
        </is>
      </c>
      <c r="B48" t="inlineStr">
        <is>
          <t>Modelo 77</t>
        </is>
      </c>
      <c r="C48" t="inlineStr">
        <is>
          <t>Modelo 77</t>
        </is>
      </c>
      <c r="D48" s="4" t="n">
        <v>2022</v>
      </c>
      <c r="E48" s="4">
        <f>IF(D48="","",FLOOR(D48,10))</f>
        <v/>
      </c>
      <c r="F48" s="22" t="n">
        <v>125</v>
      </c>
      <c r="G48" s="23" t="n">
        <v>6.9</v>
      </c>
      <c r="H48" t="inlineStr">
        <is>
          <t>Alberto Rodríguez</t>
        </is>
      </c>
      <c r="I48" t="inlineStr">
        <is>
          <t>España</t>
        </is>
      </c>
      <c r="J48" t="inlineStr">
        <is>
          <t>Drama, Thriller, Histórico</t>
        </is>
      </c>
      <c r="M48" s="6" t="n"/>
      <c r="O48" s="24" t="inlineStr"/>
      <c r="Q48" s="25" t="n"/>
      <c r="R48" s="25" t="n"/>
      <c r="S48" s="25" t="n">
        <v>2303203</v>
      </c>
      <c r="T48" s="25">
        <f>IF(AND(R48="",S48=""),"",N(R48)+N(S48))</f>
        <v/>
      </c>
      <c r="U48" s="25" t="n"/>
      <c r="V48" s="26" t="inlineStr">
        <is>
          <t>IMDb</t>
        </is>
      </c>
      <c r="W48" s="26" t="inlineStr">
        <is>
          <t>FilmAffinity</t>
        </is>
      </c>
      <c r="X48" s="26" t="inlineStr">
        <is>
          <t>Letterboxd</t>
        </is>
      </c>
    </row>
    <row r="49">
      <c r="A49" t="inlineStr">
        <is>
          <t>p0048</t>
        </is>
      </c>
      <c r="B49" t="inlineStr">
        <is>
          <t>El menú</t>
        </is>
      </c>
      <c r="C49" t="inlineStr">
        <is>
          <t>The Menu</t>
        </is>
      </c>
      <c r="D49" s="4" t="n">
        <v>2022</v>
      </c>
      <c r="E49" s="4">
        <f>IF(D49="","",FLOOR(D49,10))</f>
        <v/>
      </c>
      <c r="F49" s="22" t="n">
        <v>107</v>
      </c>
      <c r="G49" s="23" t="n">
        <v>6.2</v>
      </c>
      <c r="H49" t="inlineStr">
        <is>
          <t>Mark Mylod</t>
        </is>
      </c>
      <c r="I49" t="inlineStr">
        <is>
          <t>Estados Unidos</t>
        </is>
      </c>
      <c r="J49" t="inlineStr">
        <is>
          <t>Thriller, Comedia, Terror</t>
        </is>
      </c>
      <c r="M49" s="6" t="n"/>
      <c r="O49" s="24" t="inlineStr"/>
      <c r="Q49" s="25" t="n">
        <v>9004957</v>
      </c>
      <c r="R49" s="25" t="n">
        <v>38501125</v>
      </c>
      <c r="S49" s="25" t="n">
        <v>41127075</v>
      </c>
      <c r="T49" s="25">
        <f>IF(AND(R49="",S49=""),"",N(R49)+N(S49))</f>
        <v/>
      </c>
      <c r="U49" s="25" t="n"/>
      <c r="V49" s="26" t="inlineStr">
        <is>
          <t>IMDb</t>
        </is>
      </c>
      <c r="W49" s="26" t="inlineStr">
        <is>
          <t>FilmAffinity</t>
        </is>
      </c>
      <c r="X49" s="26" t="inlineStr">
        <is>
          <t>Letterboxd</t>
        </is>
      </c>
    </row>
    <row r="50">
      <c r="A50" t="inlineStr">
        <is>
          <t>p0049</t>
        </is>
      </c>
      <c r="B50" t="inlineStr">
        <is>
          <t>One Piece Film: Red</t>
        </is>
      </c>
      <c r="C50" t="inlineStr">
        <is>
          <t>One Piece Film: Red</t>
        </is>
      </c>
      <c r="D50" s="4" t="n">
        <v>2022</v>
      </c>
      <c r="E50" s="4">
        <f>IF(D50="","",FLOOR(D50,10))</f>
        <v/>
      </c>
      <c r="F50" s="22" t="n">
        <v>115</v>
      </c>
      <c r="G50" s="23" t="n">
        <v>6</v>
      </c>
      <c r="H50" t="inlineStr">
        <is>
          <t>Goro Taniguchi</t>
        </is>
      </c>
      <c r="I50" t="inlineStr">
        <is>
          <t>Japón</t>
        </is>
      </c>
      <c r="J50" t="inlineStr">
        <is>
          <t>Animación, Acción, Aventura</t>
        </is>
      </c>
      <c r="M50" s="6" t="n"/>
      <c r="O50" s="24" t="inlineStr"/>
      <c r="Q50" s="25" t="n">
        <v>9340245</v>
      </c>
      <c r="R50" s="25" t="n">
        <v>12775324</v>
      </c>
      <c r="S50" s="25" t="n">
        <v>158539981</v>
      </c>
      <c r="T50" s="25">
        <f>IF(AND(R50="",S50=""),"",N(R50)+N(S50))</f>
        <v/>
      </c>
      <c r="U50" s="25" t="n"/>
      <c r="V50" s="26" t="inlineStr">
        <is>
          <t>IMDb</t>
        </is>
      </c>
      <c r="W50" s="26" t="inlineStr">
        <is>
          <t>FilmAffinity</t>
        </is>
      </c>
      <c r="X50" s="26" t="inlineStr">
        <is>
          <t>Letterboxd</t>
        </is>
      </c>
    </row>
    <row r="51">
      <c r="A51" t="inlineStr">
        <is>
          <t>p0050</t>
        </is>
      </c>
      <c r="B51" t="inlineStr">
        <is>
          <t>Smile</t>
        </is>
      </c>
      <c r="C51" t="inlineStr">
        <is>
          <t>Smile</t>
        </is>
      </c>
      <c r="D51" s="4" t="n">
        <v>2022</v>
      </c>
      <c r="E51" s="4">
        <f>IF(D51="","",FLOOR(D51,10))</f>
        <v/>
      </c>
      <c r="F51" s="22" t="n">
        <v>115</v>
      </c>
      <c r="G51" s="23" t="n">
        <v>6</v>
      </c>
      <c r="H51" t="inlineStr">
        <is>
          <t>Parker Finn</t>
        </is>
      </c>
      <c r="I51" t="inlineStr">
        <is>
          <t>Estados Unidos</t>
        </is>
      </c>
      <c r="J51" t="inlineStr">
        <is>
          <t>Terror</t>
        </is>
      </c>
      <c r="M51" s="6" t="n"/>
      <c r="O51" s="24" t="inlineStr"/>
      <c r="Q51" s="25" t="n">
        <v>22609925</v>
      </c>
      <c r="R51" s="25" t="n">
        <v>105935048</v>
      </c>
      <c r="S51" s="25" t="n">
        <v>111473465</v>
      </c>
      <c r="T51" s="25">
        <f>IF(AND(R51="",S51=""),"",N(R51)+N(S51))</f>
        <v/>
      </c>
      <c r="U51" s="25" t="n"/>
      <c r="V51" s="26" t="inlineStr">
        <is>
          <t>IMDb</t>
        </is>
      </c>
      <c r="W51" s="26" t="inlineStr">
        <is>
          <t>FilmAffinity</t>
        </is>
      </c>
      <c r="X51" s="26" t="inlineStr">
        <is>
          <t>Letterboxd</t>
        </is>
      </c>
    </row>
    <row r="52">
      <c r="A52" t="inlineStr">
        <is>
          <t>p0051</t>
        </is>
      </c>
      <c r="B52" t="inlineStr">
        <is>
          <t>Todo a la Vez en Todas Partes</t>
        </is>
      </c>
      <c r="C52" t="inlineStr">
        <is>
          <t>Everything Everywhere All at Once</t>
        </is>
      </c>
      <c r="D52" s="4" t="n">
        <v>2022</v>
      </c>
      <c r="E52" s="4">
        <f>IF(D52="","",FLOOR(D52,10))</f>
        <v/>
      </c>
      <c r="F52" s="22" t="n">
        <v>139</v>
      </c>
      <c r="G52" s="23" t="n">
        <v>5.8</v>
      </c>
      <c r="H52" t="inlineStr">
        <is>
          <t>Dan Kwan / Daniel Scheinert</t>
        </is>
      </c>
      <c r="I52" t="inlineStr">
        <is>
          <t>Estados Unidos</t>
        </is>
      </c>
      <c r="J52" t="inlineStr">
        <is>
          <t>Ciencia ficción, Comedia, Acción</t>
        </is>
      </c>
      <c r="M52" s="6" t="n"/>
      <c r="O52" s="24" t="inlineStr"/>
      <c r="Q52" s="25" t="n"/>
      <c r="R52" s="25" t="n"/>
      <c r="S52" s="25" t="n"/>
      <c r="T52" s="25">
        <f>IF(AND(R52="",S52=""),"",N(R52)+N(S52))</f>
        <v/>
      </c>
      <c r="U52" s="25" t="n"/>
      <c r="V52" s="26" t="inlineStr">
        <is>
          <t>IMDb</t>
        </is>
      </c>
      <c r="W52" s="26" t="inlineStr">
        <is>
          <t>FilmAffinity</t>
        </is>
      </c>
      <c r="X52" s="26" t="inlineStr">
        <is>
          <t>Letterboxd</t>
        </is>
      </c>
    </row>
    <row r="53">
      <c r="A53" t="inlineStr">
        <is>
          <t>p0052</t>
        </is>
      </c>
      <c r="B53" t="inlineStr">
        <is>
          <t>Thor: Love and Thunder</t>
        </is>
      </c>
      <c r="C53" t="inlineStr">
        <is>
          <t>Thor: Love and Thunder</t>
        </is>
      </c>
      <c r="D53" s="4" t="n">
        <v>2022</v>
      </c>
      <c r="E53" s="4">
        <f>IF(D53="","",FLOOR(D53,10))</f>
        <v/>
      </c>
      <c r="F53" s="22" t="n">
        <v>118</v>
      </c>
      <c r="G53" s="23" t="n">
        <v>5.5</v>
      </c>
      <c r="H53" t="inlineStr">
        <is>
          <t>Taika Waititi</t>
        </is>
      </c>
      <c r="I53" t="inlineStr">
        <is>
          <t>Estados Unidos</t>
        </is>
      </c>
      <c r="J53" t="inlineStr">
        <is>
          <t>Superhéroes, Comedia</t>
        </is>
      </c>
      <c r="K53" t="inlineStr">
        <is>
          <t>UCM</t>
        </is>
      </c>
      <c r="L53" t="inlineStr">
        <is>
          <t>Fase 4 · Saga del Multiverso</t>
        </is>
      </c>
      <c r="M53" s="6" t="n"/>
      <c r="O53" s="24" t="inlineStr"/>
      <c r="Q53" s="25" t="n">
        <v>144165107</v>
      </c>
      <c r="R53" s="25" t="n">
        <v>343256830</v>
      </c>
      <c r="S53" s="25" t="n">
        <v>417671251</v>
      </c>
      <c r="T53" s="25">
        <f>IF(AND(R53="",S53=""),"",N(R53)+N(S53))</f>
        <v/>
      </c>
      <c r="U53" s="25" t="n">
        <v>250000000</v>
      </c>
      <c r="V53" s="26" t="inlineStr">
        <is>
          <t>IMDb</t>
        </is>
      </c>
      <c r="W53" s="26" t="inlineStr">
        <is>
          <t>FilmAffinity</t>
        </is>
      </c>
      <c r="X53" s="26" t="inlineStr">
        <is>
          <t>Letterboxd</t>
        </is>
      </c>
    </row>
    <row r="54">
      <c r="A54" t="inlineStr">
        <is>
          <t>p0053</t>
        </is>
      </c>
      <c r="B54" t="inlineStr">
        <is>
          <t>El extraño</t>
        </is>
      </c>
      <c r="C54" t="inlineStr">
        <is>
          <t>Watcher</t>
        </is>
      </c>
      <c r="D54" s="4" t="n">
        <v>2022</v>
      </c>
      <c r="E54" s="4">
        <f>IF(D54="","",FLOOR(D54,10))</f>
        <v/>
      </c>
      <c r="F54" s="22" t="n">
        <v>91</v>
      </c>
      <c r="G54" s="23" t="n">
        <v>5.5</v>
      </c>
      <c r="H54" t="inlineStr">
        <is>
          <t>Chloe Okuno</t>
        </is>
      </c>
      <c r="I54" t="inlineStr">
        <is>
          <t>Estados Unidos</t>
        </is>
      </c>
      <c r="J54" t="inlineStr">
        <is>
          <t>Thriller, Terror</t>
        </is>
      </c>
      <c r="M54" s="6" t="n"/>
      <c r="O54" s="24" t="inlineStr"/>
      <c r="Q54" s="25" t="n"/>
      <c r="R54" s="25" t="n"/>
      <c r="S54" s="25" t="n"/>
      <c r="T54" s="25">
        <f>IF(AND(R54="",S54=""),"",N(R54)+N(S54))</f>
        <v/>
      </c>
      <c r="U54" s="25" t="n"/>
      <c r="V54" s="26" t="inlineStr">
        <is>
          <t>IMDb</t>
        </is>
      </c>
      <c r="X54" s="26" t="inlineStr">
        <is>
          <t>Letterboxd</t>
        </is>
      </c>
    </row>
    <row r="55">
      <c r="A55" t="inlineStr">
        <is>
          <t>p0054</t>
        </is>
      </c>
      <c r="B55" t="inlineStr">
        <is>
          <t>Pinocho</t>
        </is>
      </c>
      <c r="C55" t="inlineStr">
        <is>
          <t>Pinocchio</t>
        </is>
      </c>
      <c r="D55" s="4" t="n">
        <v>2022</v>
      </c>
      <c r="E55" s="4">
        <f>IF(D55="","",FLOOR(D55,10))</f>
        <v/>
      </c>
      <c r="F55" s="22" t="n">
        <v>111</v>
      </c>
      <c r="G55" s="23" t="n">
        <v>5</v>
      </c>
      <c r="H55" t="inlineStr">
        <is>
          <t>Robert Zemeckis</t>
        </is>
      </c>
      <c r="I55" t="inlineStr">
        <is>
          <t>Estados Unidos</t>
        </is>
      </c>
      <c r="J55" t="inlineStr">
        <is>
          <t>Fantasía, Familiar</t>
        </is>
      </c>
      <c r="M55" s="6" t="n"/>
      <c r="O55" s="24" t="inlineStr"/>
      <c r="Q55" s="25" t="n"/>
      <c r="R55" s="25" t="n"/>
      <c r="S55" s="25" t="n"/>
      <c r="T55" s="25">
        <f>IF(AND(R55="",S55=""),"",N(R55)+N(S55))</f>
        <v/>
      </c>
      <c r="U55" s="25" t="n"/>
      <c r="V55" s="26" t="inlineStr">
        <is>
          <t>IMDb</t>
        </is>
      </c>
      <c r="W55" s="26" t="inlineStr">
        <is>
          <t>FilmAffinity</t>
        </is>
      </c>
      <c r="X55" s="26" t="inlineStr">
        <is>
          <t>Letterboxd</t>
        </is>
      </c>
    </row>
    <row r="56">
      <c r="A56" t="inlineStr">
        <is>
          <t>p0055</t>
        </is>
      </c>
      <c r="B56" t="inlineStr">
        <is>
          <t>Dragon Ball Super: Super Hero</t>
        </is>
      </c>
      <c r="C56" t="inlineStr">
        <is>
          <t>Dragon Ball Super: Super Hero</t>
        </is>
      </c>
      <c r="D56" s="4" t="n">
        <v>2022</v>
      </c>
      <c r="E56" s="4">
        <f>IF(D56="","",FLOOR(D56,10))</f>
        <v/>
      </c>
      <c r="F56" s="22" t="n">
        <v>100</v>
      </c>
      <c r="G56" s="23" t="n">
        <v>5</v>
      </c>
      <c r="H56" t="inlineStr">
        <is>
          <t>Tetsuro Kodama</t>
        </is>
      </c>
      <c r="I56" t="inlineStr">
        <is>
          <t>Japón</t>
        </is>
      </c>
      <c r="J56" t="inlineStr">
        <is>
          <t>Animación, Acción</t>
        </is>
      </c>
      <c r="K56" t="inlineStr">
        <is>
          <t>Dragon Ball</t>
        </is>
      </c>
      <c r="M56" s="6" t="n"/>
      <c r="O56" s="24" t="inlineStr"/>
      <c r="Q56" s="25" t="n"/>
      <c r="R56" s="25" t="n"/>
      <c r="S56" s="25" t="n"/>
      <c r="T56" s="25">
        <f>IF(AND(R56="",S56=""),"",N(R56)+N(S56))</f>
        <v/>
      </c>
      <c r="U56" s="25" t="n"/>
      <c r="V56" s="26" t="inlineStr">
        <is>
          <t>IMDb</t>
        </is>
      </c>
      <c r="W56" s="26" t="inlineStr">
        <is>
          <t>FilmAffinity</t>
        </is>
      </c>
      <c r="X56" s="26" t="inlineStr">
        <is>
          <t>Letterboxd</t>
        </is>
      </c>
    </row>
    <row r="57">
      <c r="A57" t="inlineStr">
        <is>
          <t>p0056</t>
        </is>
      </c>
      <c r="B57" t="inlineStr">
        <is>
          <t>Uncharted</t>
        </is>
      </c>
      <c r="C57" t="inlineStr">
        <is>
          <t>Uncharted</t>
        </is>
      </c>
      <c r="D57" s="4" t="n">
        <v>2022</v>
      </c>
      <c r="E57" s="4">
        <f>IF(D57="","",FLOOR(D57,10))</f>
        <v/>
      </c>
      <c r="F57" s="22" t="n">
        <v>115</v>
      </c>
      <c r="G57" s="23" t="n">
        <v>5</v>
      </c>
      <c r="H57" t="inlineStr">
        <is>
          <t>Ruben Fleischer</t>
        </is>
      </c>
      <c r="I57" t="inlineStr">
        <is>
          <t>Estados Unidos</t>
        </is>
      </c>
      <c r="J57" t="inlineStr">
        <is>
          <t>Acción, Aventura</t>
        </is>
      </c>
      <c r="M57" s="6" t="n"/>
      <c r="O57" s="24" t="inlineStr"/>
      <c r="Q57" s="25" t="n"/>
      <c r="R57" s="25" t="n"/>
      <c r="S57" s="25" t="n"/>
      <c r="T57" s="25">
        <f>IF(AND(R57="",S57=""),"",N(R57)+N(S57))</f>
        <v/>
      </c>
      <c r="U57" s="25" t="n"/>
      <c r="V57" s="26" t="inlineStr">
        <is>
          <t>IMDb</t>
        </is>
      </c>
      <c r="W57" s="26" t="inlineStr">
        <is>
          <t>FilmAffinity</t>
        </is>
      </c>
      <c r="X57" s="26" t="inlineStr">
        <is>
          <t>Letterboxd</t>
        </is>
      </c>
    </row>
    <row r="58">
      <c r="A58" t="inlineStr">
        <is>
          <t>p0057</t>
        </is>
      </c>
      <c r="B58" t="inlineStr">
        <is>
          <t>Black Panther: Wakanda Forever</t>
        </is>
      </c>
      <c r="C58" t="inlineStr">
        <is>
          <t>Black Panther: Wakanda Forever</t>
        </is>
      </c>
      <c r="D58" s="4" t="n">
        <v>2022</v>
      </c>
      <c r="E58" s="4">
        <f>IF(D58="","",FLOOR(D58,10))</f>
        <v/>
      </c>
      <c r="F58" s="22" t="n">
        <v>161</v>
      </c>
      <c r="G58" s="23" t="n">
        <v>5</v>
      </c>
      <c r="H58" t="inlineStr">
        <is>
          <t>Ryan Coogler</t>
        </is>
      </c>
      <c r="I58" t="inlineStr">
        <is>
          <t>Estados Unidos</t>
        </is>
      </c>
      <c r="J58" t="inlineStr">
        <is>
          <t>Superhéroes, Acción</t>
        </is>
      </c>
      <c r="K58" t="inlineStr">
        <is>
          <t>UCM</t>
        </is>
      </c>
      <c r="L58" t="inlineStr">
        <is>
          <t>Fase 4 · Saga del Multiverso</t>
        </is>
      </c>
      <c r="M58" s="6" t="n"/>
      <c r="O58" s="24" t="inlineStr"/>
      <c r="Q58" s="25" t="n">
        <v>181339761</v>
      </c>
      <c r="R58" s="25" t="n">
        <v>453829060</v>
      </c>
      <c r="S58" s="25" t="n">
        <v>405379776</v>
      </c>
      <c r="T58" s="25">
        <f>IF(AND(R58="",S58=""),"",N(R58)+N(S58))</f>
        <v/>
      </c>
      <c r="U58" s="25" t="n">
        <v>250000000</v>
      </c>
      <c r="V58" s="26" t="inlineStr">
        <is>
          <t>IMDb</t>
        </is>
      </c>
      <c r="W58" s="26" t="inlineStr">
        <is>
          <t>FilmAffinity</t>
        </is>
      </c>
      <c r="X58" s="26" t="inlineStr">
        <is>
          <t>Letterboxd</t>
        </is>
      </c>
    </row>
    <row r="59">
      <c r="A59" t="inlineStr">
        <is>
          <t>p0058</t>
        </is>
      </c>
      <c r="B59" t="inlineStr">
        <is>
          <t>Doctor Strange en el Multiverso de la Locura</t>
        </is>
      </c>
      <c r="C59" t="inlineStr">
        <is>
          <t>Doctor Strange in the Multiverse of Madness</t>
        </is>
      </c>
      <c r="D59" s="4" t="n">
        <v>2022</v>
      </c>
      <c r="E59" s="4">
        <f>IF(D59="","",FLOOR(D59,10))</f>
        <v/>
      </c>
      <c r="F59" s="22" t="n">
        <v>126</v>
      </c>
      <c r="G59" s="23" t="n">
        <v>4.8</v>
      </c>
      <c r="H59" t="inlineStr">
        <is>
          <t>Sam Raimi</t>
        </is>
      </c>
      <c r="I59" t="inlineStr">
        <is>
          <t>Estados Unidos</t>
        </is>
      </c>
      <c r="J59" t="inlineStr">
        <is>
          <t>Superhéroes, Fantasía</t>
        </is>
      </c>
      <c r="K59" t="inlineStr">
        <is>
          <t>UCM</t>
        </is>
      </c>
      <c r="L59" t="inlineStr">
        <is>
          <t>Fase 4 · Saga del Multiverso</t>
        </is>
      </c>
      <c r="M59" s="6" t="n"/>
      <c r="O59" s="24" t="inlineStr"/>
      <c r="Q59" s="25" t="n">
        <v>187420998</v>
      </c>
      <c r="R59" s="25" t="n">
        <v>411331607</v>
      </c>
      <c r="S59" s="25" t="n">
        <v>544444197</v>
      </c>
      <c r="T59" s="25">
        <f>IF(AND(R59="",S59=""),"",N(R59)+N(S59))</f>
        <v/>
      </c>
      <c r="U59" s="25" t="n">
        <v>250000000</v>
      </c>
      <c r="V59" s="26" t="inlineStr">
        <is>
          <t>IMDb</t>
        </is>
      </c>
      <c r="W59" s="26" t="inlineStr">
        <is>
          <t>FilmAffinity</t>
        </is>
      </c>
      <c r="X59" s="26" t="inlineStr">
        <is>
          <t>Letterboxd</t>
        </is>
      </c>
    </row>
    <row r="60">
      <c r="A60" t="inlineStr">
        <is>
          <t>p0059</t>
        </is>
      </c>
      <c r="B60" t="inlineStr">
        <is>
          <t>Jurassic World: Dominion</t>
        </is>
      </c>
      <c r="C60" t="inlineStr">
        <is>
          <t>Jurassic World Dominion</t>
        </is>
      </c>
      <c r="D60" s="4" t="n">
        <v>2022</v>
      </c>
      <c r="E60" s="4">
        <f>IF(D60="","",FLOOR(D60,10))</f>
        <v/>
      </c>
      <c r="F60" s="22" t="n">
        <v>146</v>
      </c>
      <c r="G60" s="23" t="n">
        <v>3.7</v>
      </c>
      <c r="H60" t="inlineStr">
        <is>
          <t>Colin Trevorrow</t>
        </is>
      </c>
      <c r="I60" t="inlineStr">
        <is>
          <t>Estados Unidos</t>
        </is>
      </c>
      <c r="J60" t="inlineStr">
        <is>
          <t>Acción, Aventura, Ciencia ficción</t>
        </is>
      </c>
      <c r="K60" t="inlineStr">
        <is>
          <t>Jurassic Park</t>
        </is>
      </c>
      <c r="M60" s="6" t="n"/>
      <c r="O60" s="24" t="inlineStr"/>
      <c r="Q60" s="25" t="n"/>
      <c r="R60" s="25" t="n"/>
      <c r="S60" s="25" t="n"/>
      <c r="T60" s="25">
        <f>IF(AND(R60="",S60=""),"",N(R60)+N(S60))</f>
        <v/>
      </c>
      <c r="U60" s="25" t="n"/>
      <c r="V60" s="26" t="inlineStr">
        <is>
          <t>IMDb</t>
        </is>
      </c>
      <c r="W60" s="26" t="inlineStr">
        <is>
          <t>FilmAffinity</t>
        </is>
      </c>
      <c r="X60" s="26" t="inlineStr">
        <is>
          <t>Letterboxd</t>
        </is>
      </c>
    </row>
    <row r="61">
      <c r="A61" t="inlineStr">
        <is>
          <t>p0060</t>
        </is>
      </c>
      <c r="B61" t="inlineStr">
        <is>
          <t>Dune</t>
        </is>
      </c>
      <c r="C61" t="inlineStr">
        <is>
          <t>Dune</t>
        </is>
      </c>
      <c r="D61" s="4" t="n">
        <v>2021</v>
      </c>
      <c r="E61" s="4">
        <f>IF(D61="","",FLOOR(D61,10))</f>
        <v/>
      </c>
      <c r="F61" s="22" t="n">
        <v>155</v>
      </c>
      <c r="G61" s="23" t="n">
        <v>8.1</v>
      </c>
      <c r="H61" t="inlineStr">
        <is>
          <t>Denis Villeneuve</t>
        </is>
      </c>
      <c r="I61" t="inlineStr">
        <is>
          <t>Estados Unidos</t>
        </is>
      </c>
      <c r="J61" t="inlineStr">
        <is>
          <t>Ciencia ficción, Aventura</t>
        </is>
      </c>
      <c r="K61" t="inlineStr">
        <is>
          <t>Dune</t>
        </is>
      </c>
      <c r="M61" s="6" t="n"/>
      <c r="O61" s="24" t="inlineStr"/>
      <c r="Q61" s="25" t="n"/>
      <c r="R61" s="25" t="n"/>
      <c r="S61" s="25" t="n"/>
      <c r="T61" s="25">
        <f>IF(AND(R61="",S61=""),"",N(R61)+N(S61))</f>
        <v/>
      </c>
      <c r="U61" s="25" t="n"/>
      <c r="V61" s="26" t="inlineStr">
        <is>
          <t>IMDb</t>
        </is>
      </c>
      <c r="W61" s="26" t="inlineStr">
        <is>
          <t>FilmAffinity</t>
        </is>
      </c>
      <c r="X61" s="26" t="inlineStr">
        <is>
          <t>Letterboxd</t>
        </is>
      </c>
    </row>
    <row r="62">
      <c r="A62" t="inlineStr">
        <is>
          <t>p0061</t>
        </is>
      </c>
      <c r="B62" t="inlineStr">
        <is>
          <t>The Mauritanian</t>
        </is>
      </c>
      <c r="C62" t="inlineStr">
        <is>
          <t>The Mauritanian</t>
        </is>
      </c>
      <c r="D62" s="4" t="n">
        <v>2021</v>
      </c>
      <c r="E62" s="4">
        <f>IF(D62="","",FLOOR(D62,10))</f>
        <v/>
      </c>
      <c r="F62" s="22" t="n">
        <v>129</v>
      </c>
      <c r="G62" s="23" t="n">
        <v>7.6</v>
      </c>
      <c r="H62" t="inlineStr">
        <is>
          <t>Kevin MacDonald</t>
        </is>
      </c>
      <c r="I62" t="inlineStr">
        <is>
          <t>Reino Unido</t>
        </is>
      </c>
      <c r="J62" t="inlineStr">
        <is>
          <t>Drama, Thriller, Biográfico</t>
        </is>
      </c>
      <c r="M62" s="6" t="n"/>
      <c r="O62" s="24" t="inlineStr"/>
      <c r="Q62" s="25" t="n"/>
      <c r="R62" s="25" t="n"/>
      <c r="S62" s="25" t="n"/>
      <c r="T62" s="25">
        <f>IF(AND(R62="",S62=""),"",N(R62)+N(S62))</f>
        <v/>
      </c>
      <c r="U62" s="25" t="n"/>
      <c r="V62" s="26" t="inlineStr">
        <is>
          <t>IMDb</t>
        </is>
      </c>
      <c r="W62" s="26" t="inlineStr">
        <is>
          <t>FilmAffinity</t>
        </is>
      </c>
      <c r="X62" s="26" t="inlineStr">
        <is>
          <t>Letterboxd</t>
        </is>
      </c>
    </row>
    <row r="63">
      <c r="A63" t="inlineStr">
        <is>
          <t>p0062</t>
        </is>
      </c>
      <c r="B63" t="inlineStr">
        <is>
          <t>Tick Tick....Boom!</t>
        </is>
      </c>
      <c r="C63" t="inlineStr">
        <is>
          <t>tick, tick... BOOM!</t>
        </is>
      </c>
      <c r="D63" s="4" t="n">
        <v>2021</v>
      </c>
      <c r="E63" s="4">
        <f>IF(D63="","",FLOOR(D63,10))</f>
        <v/>
      </c>
      <c r="F63" s="22" t="n">
        <v>115</v>
      </c>
      <c r="G63" s="23" t="n">
        <v>7.4</v>
      </c>
      <c r="H63" t="inlineStr">
        <is>
          <t>Lin-Manuel Miranda</t>
        </is>
      </c>
      <c r="I63" t="inlineStr">
        <is>
          <t>Estados Unidos</t>
        </is>
      </c>
      <c r="J63" t="inlineStr">
        <is>
          <t>Musical, Biográfico, Drama</t>
        </is>
      </c>
      <c r="M63" s="6" t="n"/>
      <c r="O63" s="24" t="inlineStr"/>
      <c r="Q63" s="25" t="n"/>
      <c r="R63" s="25" t="n"/>
      <c r="S63" s="25" t="n"/>
      <c r="T63" s="25">
        <f>IF(AND(R63="",S63=""),"",N(R63)+N(S63))</f>
        <v/>
      </c>
      <c r="U63" s="25" t="n"/>
      <c r="V63" s="26" t="inlineStr">
        <is>
          <t>IMDb</t>
        </is>
      </c>
      <c r="W63" s="26" t="inlineStr">
        <is>
          <t>FilmAffinity</t>
        </is>
      </c>
      <c r="X63" s="26" t="inlineStr">
        <is>
          <t>Letterboxd</t>
        </is>
      </c>
    </row>
    <row r="64">
      <c r="A64" t="inlineStr">
        <is>
          <t>p0063</t>
        </is>
      </c>
      <c r="B64" t="inlineStr">
        <is>
          <t>El buen patrón</t>
        </is>
      </c>
      <c r="C64" t="inlineStr">
        <is>
          <t>El buen patrón</t>
        </is>
      </c>
      <c r="D64" s="4" t="n">
        <v>2021</v>
      </c>
      <c r="E64" s="4">
        <f>IF(D64="","",FLOOR(D64,10))</f>
        <v/>
      </c>
      <c r="F64" s="22" t="n">
        <v>120</v>
      </c>
      <c r="G64" s="23" t="n">
        <v>6.7</v>
      </c>
      <c r="H64" t="inlineStr">
        <is>
          <t>Fernando León de Aranoa</t>
        </is>
      </c>
      <c r="I64" t="inlineStr">
        <is>
          <t>España</t>
        </is>
      </c>
      <c r="J64" t="inlineStr">
        <is>
          <t>Comedia, Drama</t>
        </is>
      </c>
      <c r="M64" s="6" t="n"/>
      <c r="O64" s="24" t="inlineStr"/>
      <c r="Q64" s="25" t="n"/>
      <c r="R64" s="25" t="n"/>
      <c r="S64" s="25" t="n"/>
      <c r="T64" s="25">
        <f>IF(AND(R64="",S64=""),"",N(R64)+N(S64))</f>
        <v/>
      </c>
      <c r="U64" s="25" t="n"/>
      <c r="V64" s="26" t="inlineStr">
        <is>
          <t>IMDb</t>
        </is>
      </c>
      <c r="W64" s="26" t="inlineStr">
        <is>
          <t>FilmAffinity</t>
        </is>
      </c>
      <c r="X64" s="26" t="inlineStr">
        <is>
          <t>Letterboxd</t>
        </is>
      </c>
    </row>
    <row r="65">
      <c r="A65" t="inlineStr">
        <is>
          <t>p0064</t>
        </is>
      </c>
      <c r="B65" t="inlineStr">
        <is>
          <t>The Innocents</t>
        </is>
      </c>
      <c r="C65" t="inlineStr">
        <is>
          <t>De uskyldige</t>
        </is>
      </c>
      <c r="D65" s="4" t="n">
        <v>2021</v>
      </c>
      <c r="E65" s="4">
        <f>IF(D65="","",FLOOR(D65,10))</f>
        <v/>
      </c>
      <c r="F65" s="22" t="n">
        <v>113</v>
      </c>
      <c r="G65" s="23" t="n">
        <v>6.6</v>
      </c>
      <c r="H65" t="inlineStr">
        <is>
          <t>Eskil Vogt</t>
        </is>
      </c>
      <c r="I65" t="inlineStr">
        <is>
          <t>Noruega</t>
        </is>
      </c>
      <c r="J65" t="inlineStr">
        <is>
          <t>Terror, Fantasía, Drama</t>
        </is>
      </c>
      <c r="M65" s="6" t="n"/>
      <c r="O65" s="24" t="inlineStr"/>
      <c r="Q65" s="25" t="n"/>
      <c r="R65" s="25" t="n"/>
      <c r="S65" s="25" t="n"/>
      <c r="T65" s="25">
        <f>IF(AND(R65="",S65=""),"",N(R65)+N(S65))</f>
        <v/>
      </c>
      <c r="U65" s="25" t="n"/>
      <c r="V65" s="26" t="inlineStr">
        <is>
          <t>IMDb</t>
        </is>
      </c>
      <c r="W65" s="26" t="inlineStr">
        <is>
          <t>FilmAffinity</t>
        </is>
      </c>
      <c r="X65" s="26" t="inlineStr">
        <is>
          <t>Letterboxd</t>
        </is>
      </c>
    </row>
    <row r="66">
      <c r="A66" t="inlineStr">
        <is>
          <t>p0065</t>
        </is>
      </c>
      <c r="B66" t="inlineStr">
        <is>
          <t>No Mires Arriba</t>
        </is>
      </c>
      <c r="C66" t="inlineStr">
        <is>
          <t>Don't Look Up</t>
        </is>
      </c>
      <c r="D66" s="4" t="n">
        <v>2021</v>
      </c>
      <c r="E66" s="4">
        <f>IF(D66="","",FLOOR(D66,10))</f>
        <v/>
      </c>
      <c r="F66" s="22" t="n">
        <v>138</v>
      </c>
      <c r="G66" s="23" t="n">
        <v>6.5</v>
      </c>
      <c r="H66" t="inlineStr">
        <is>
          <t>Adam McKay</t>
        </is>
      </c>
      <c r="I66" t="inlineStr">
        <is>
          <t>Estados Unidos</t>
        </is>
      </c>
      <c r="J66" t="inlineStr">
        <is>
          <t>Comedia, Ciencia ficción</t>
        </is>
      </c>
      <c r="M66" s="6" t="n"/>
      <c r="O66" s="24" t="inlineStr"/>
      <c r="Q66" s="25" t="n"/>
      <c r="R66" s="25" t="n"/>
      <c r="S66" s="25" t="n"/>
      <c r="T66" s="25">
        <f>IF(AND(R66="",S66=""),"",N(R66)+N(S66))</f>
        <v/>
      </c>
      <c r="U66" s="25" t="n"/>
      <c r="V66" s="26" t="inlineStr">
        <is>
          <t>IMDb</t>
        </is>
      </c>
      <c r="W66" s="26" t="inlineStr">
        <is>
          <t>FilmAffinity</t>
        </is>
      </c>
      <c r="X66" s="26" t="inlineStr">
        <is>
          <t>Letterboxd</t>
        </is>
      </c>
    </row>
    <row r="67">
      <c r="A67" t="inlineStr">
        <is>
          <t>p0066</t>
        </is>
      </c>
      <c r="B67" t="inlineStr">
        <is>
          <t>Madres paralelas</t>
        </is>
      </c>
      <c r="C67" t="inlineStr">
        <is>
          <t>Madres paralelas</t>
        </is>
      </c>
      <c r="D67" s="4" t="n">
        <v>2021</v>
      </c>
      <c r="E67" s="4">
        <f>IF(D67="","",FLOOR(D67,10))</f>
        <v/>
      </c>
      <c r="F67" s="22" t="n">
        <v>123</v>
      </c>
      <c r="G67" s="23" t="n">
        <v>6.5</v>
      </c>
      <c r="H67" t="inlineStr">
        <is>
          <t>Pedro Almodóvar</t>
        </is>
      </c>
      <c r="I67" t="inlineStr">
        <is>
          <t>España</t>
        </is>
      </c>
      <c r="J67" t="inlineStr">
        <is>
          <t>Drama</t>
        </is>
      </c>
      <c r="M67" s="6" t="n"/>
      <c r="O67" s="24" t="inlineStr"/>
      <c r="Q67" s="25" t="n"/>
      <c r="R67" s="25" t="n"/>
      <c r="S67" s="25" t="n"/>
      <c r="T67" s="25">
        <f>IF(AND(R67="",S67=""),"",N(R67)+N(S67))</f>
        <v/>
      </c>
      <c r="U67" s="25" t="n"/>
      <c r="V67" s="26" t="inlineStr">
        <is>
          <t>IMDb</t>
        </is>
      </c>
      <c r="W67" s="26" t="inlineStr">
        <is>
          <t>FilmAffinity</t>
        </is>
      </c>
      <c r="X67" s="26" t="inlineStr">
        <is>
          <t>Letterboxd</t>
        </is>
      </c>
    </row>
    <row r="68">
      <c r="A68" t="inlineStr">
        <is>
          <t>p0067</t>
        </is>
      </c>
      <c r="B68" t="inlineStr">
        <is>
          <t>Spider-Man: No Way Home</t>
        </is>
      </c>
      <c r="C68" t="inlineStr">
        <is>
          <t>Spider-Man: No Way Home</t>
        </is>
      </c>
      <c r="D68" s="4" t="n">
        <v>2021</v>
      </c>
      <c r="E68" s="4">
        <f>IF(D68="","",FLOOR(D68,10))</f>
        <v/>
      </c>
      <c r="F68" s="22" t="n">
        <v>148</v>
      </c>
      <c r="G68" s="23" t="n">
        <v>6.4</v>
      </c>
      <c r="H68" t="inlineStr">
        <is>
          <t>Jon Watts</t>
        </is>
      </c>
      <c r="I68" t="inlineStr">
        <is>
          <t>Estados Unidos</t>
        </is>
      </c>
      <c r="J68" t="inlineStr">
        <is>
          <t>Superhéroes, Acción</t>
        </is>
      </c>
      <c r="K68" t="inlineStr">
        <is>
          <t>UCM</t>
        </is>
      </c>
      <c r="L68" t="inlineStr">
        <is>
          <t>Fase 4 · Saga del Multiverso</t>
        </is>
      </c>
      <c r="M68" s="6" t="n"/>
      <c r="O68" s="24" t="inlineStr"/>
      <c r="Q68" s="25" t="n">
        <v>260138569</v>
      </c>
      <c r="R68" s="25" t="n">
        <v>814866759</v>
      </c>
      <c r="S68" s="25" t="n">
        <v>1106533944</v>
      </c>
      <c r="T68" s="25">
        <f>IF(AND(R68="",S68=""),"",N(R68)+N(S68))</f>
        <v/>
      </c>
      <c r="U68" s="25" t="n">
        <v>200000000</v>
      </c>
      <c r="V68" s="26" t="inlineStr">
        <is>
          <t>IMDb</t>
        </is>
      </c>
      <c r="W68" s="26" t="inlineStr">
        <is>
          <t>FilmAffinity</t>
        </is>
      </c>
      <c r="X68" s="26" t="inlineStr">
        <is>
          <t>Letterboxd</t>
        </is>
      </c>
    </row>
    <row r="69">
      <c r="A69" t="inlineStr">
        <is>
          <t>p0068</t>
        </is>
      </c>
      <c r="B69" t="inlineStr">
        <is>
          <t>Maixabel</t>
        </is>
      </c>
      <c r="C69" t="inlineStr">
        <is>
          <t>Maixabel</t>
        </is>
      </c>
      <c r="D69" s="4" t="n">
        <v>2021</v>
      </c>
      <c r="E69" s="4">
        <f>IF(D69="","",FLOOR(D69,10))</f>
        <v/>
      </c>
      <c r="F69" s="22" t="n">
        <v>115</v>
      </c>
      <c r="G69" s="23" t="n">
        <v>5.9</v>
      </c>
      <c r="H69" t="inlineStr">
        <is>
          <t>Icíar Bollaín</t>
        </is>
      </c>
      <c r="I69" t="inlineStr">
        <is>
          <t>España</t>
        </is>
      </c>
      <c r="J69" t="inlineStr">
        <is>
          <t>Drama, Biográfico</t>
        </is>
      </c>
      <c r="M69" s="6" t="n"/>
      <c r="O69" s="24" t="inlineStr"/>
      <c r="Q69" s="25" t="n"/>
      <c r="R69" s="25" t="n"/>
      <c r="S69" s="25" t="n"/>
      <c r="T69" s="25">
        <f>IF(AND(R69="",S69=""),"",N(R69)+N(S69))</f>
        <v/>
      </c>
      <c r="U69" s="25" t="n"/>
      <c r="V69" s="26" t="inlineStr">
        <is>
          <t>IMDb</t>
        </is>
      </c>
      <c r="W69" s="26" t="inlineStr">
        <is>
          <t>FilmAffinity</t>
        </is>
      </c>
      <c r="X69" s="26" t="inlineStr">
        <is>
          <t>Letterboxd</t>
        </is>
      </c>
    </row>
    <row r="70">
      <c r="A70" t="inlineStr">
        <is>
          <t>p0069</t>
        </is>
      </c>
      <c r="B70" t="inlineStr">
        <is>
          <t>Encanto</t>
        </is>
      </c>
      <c r="C70" t="inlineStr">
        <is>
          <t>Encanto</t>
        </is>
      </c>
      <c r="D70" s="4" t="n">
        <v>2021</v>
      </c>
      <c r="E70" s="4">
        <f>IF(D70="","",FLOOR(D70,10))</f>
        <v/>
      </c>
      <c r="F70" s="22" t="n">
        <v>99</v>
      </c>
      <c r="G70" s="23" t="n">
        <v>5.5</v>
      </c>
      <c r="H70" t="inlineStr">
        <is>
          <t>Jared Bush / Chris Wiliams / Charise Castro Smith</t>
        </is>
      </c>
      <c r="I70" t="inlineStr">
        <is>
          <t>Estados Unidos</t>
        </is>
      </c>
      <c r="J70" t="inlineStr">
        <is>
          <t>Animación, Musical, Familiar</t>
        </is>
      </c>
      <c r="M70" s="6" t="n"/>
      <c r="O70" s="24" t="inlineStr"/>
      <c r="Q70" s="25" t="n"/>
      <c r="R70" s="25" t="n"/>
      <c r="S70" s="25" t="n"/>
      <c r="T70" s="25">
        <f>IF(AND(R70="",S70=""),"",N(R70)+N(S70))</f>
        <v/>
      </c>
      <c r="U70" s="25" t="n"/>
      <c r="V70" s="26" t="inlineStr">
        <is>
          <t>IMDb</t>
        </is>
      </c>
      <c r="W70" s="26" t="inlineStr">
        <is>
          <t>FilmAffinity</t>
        </is>
      </c>
      <c r="X70" s="26" t="inlineStr">
        <is>
          <t>Letterboxd</t>
        </is>
      </c>
    </row>
    <row r="71">
      <c r="A71" t="inlineStr">
        <is>
          <t>p0070</t>
        </is>
      </c>
      <c r="B71" t="inlineStr">
        <is>
          <t>La abuela</t>
        </is>
      </c>
      <c r="C71" t="inlineStr">
        <is>
          <t>La abuela</t>
        </is>
      </c>
      <c r="D71" s="4" t="n">
        <v>2021</v>
      </c>
      <c r="E71" s="4">
        <f>IF(D71="","",FLOOR(D71,10))</f>
        <v/>
      </c>
      <c r="F71" s="22" t="n">
        <v>100</v>
      </c>
      <c r="G71" s="23" t="n">
        <v>5.5</v>
      </c>
      <c r="H71" t="inlineStr">
        <is>
          <t>Paco Plaza</t>
        </is>
      </c>
      <c r="I71" t="inlineStr">
        <is>
          <t>España</t>
        </is>
      </c>
      <c r="J71" t="inlineStr">
        <is>
          <t>Terror</t>
        </is>
      </c>
      <c r="M71" s="6" t="n"/>
      <c r="O71" s="24" t="inlineStr"/>
      <c r="Q71" s="25" t="n"/>
      <c r="R71" s="25" t="n"/>
      <c r="S71" s="25" t="n"/>
      <c r="T71" s="25">
        <f>IF(AND(R71="",S71=""),"",N(R71)+N(S71))</f>
        <v/>
      </c>
      <c r="U71" s="25" t="n"/>
      <c r="V71" s="26" t="inlineStr">
        <is>
          <t>IMDb</t>
        </is>
      </c>
      <c r="W71" s="26" t="inlineStr">
        <is>
          <t>FilmAffinity</t>
        </is>
      </c>
      <c r="X71" s="26" t="inlineStr">
        <is>
          <t>Letterboxd</t>
        </is>
      </c>
    </row>
    <row r="72">
      <c r="A72" t="inlineStr">
        <is>
          <t>p0071</t>
        </is>
      </c>
      <c r="B72" t="inlineStr">
        <is>
          <t>Viuda Negra</t>
        </is>
      </c>
      <c r="C72" t="inlineStr">
        <is>
          <t>Black Widow</t>
        </is>
      </c>
      <c r="D72" s="4" t="n">
        <v>2021</v>
      </c>
      <c r="E72" s="4">
        <f>IF(D72="","",FLOOR(D72,10))</f>
        <v/>
      </c>
      <c r="F72" s="22" t="n">
        <v>132</v>
      </c>
      <c r="G72" s="23" t="n">
        <v>5</v>
      </c>
      <c r="H72" t="inlineStr">
        <is>
          <t>Cate Shortland</t>
        </is>
      </c>
      <c r="I72" t="inlineStr">
        <is>
          <t>Estados Unidos</t>
        </is>
      </c>
      <c r="J72" t="inlineStr">
        <is>
          <t>Superhéroes, Acción</t>
        </is>
      </c>
      <c r="K72" t="inlineStr">
        <is>
          <t>UCM</t>
        </is>
      </c>
      <c r="L72" t="inlineStr">
        <is>
          <t>Fase 4 · Saga del Multiverso</t>
        </is>
      </c>
      <c r="M72" s="6" t="n"/>
      <c r="O72" s="24" t="inlineStr"/>
      <c r="Q72" s="25" t="n">
        <v>80366312</v>
      </c>
      <c r="R72" s="25" t="n">
        <v>183651655</v>
      </c>
      <c r="S72" s="25" t="n">
        <v>196100000</v>
      </c>
      <c r="T72" s="25">
        <f>IF(AND(R72="",S72=""),"",N(R72)+N(S72))</f>
        <v/>
      </c>
      <c r="U72" s="25" t="n">
        <v>150000000</v>
      </c>
      <c r="V72" s="26" t="inlineStr">
        <is>
          <t>IMDb</t>
        </is>
      </c>
      <c r="W72" s="26" t="inlineStr">
        <is>
          <t>FilmAffinity</t>
        </is>
      </c>
      <c r="X72" s="26" t="inlineStr">
        <is>
          <t>Letterboxd</t>
        </is>
      </c>
    </row>
    <row r="73">
      <c r="A73" t="inlineStr">
        <is>
          <t>p0072</t>
        </is>
      </c>
      <c r="B73" t="inlineStr">
        <is>
          <t>Josefina</t>
        </is>
      </c>
      <c r="C73" t="inlineStr">
        <is>
          <t>Josefina</t>
        </is>
      </c>
      <c r="D73" s="4" t="n">
        <v>2021</v>
      </c>
      <c r="E73" s="4">
        <f>IF(D73="","",FLOOR(D73,10))</f>
        <v/>
      </c>
      <c r="F73" s="22" t="n">
        <v>90</v>
      </c>
      <c r="G73" s="23" t="n">
        <v>4.5</v>
      </c>
      <c r="H73" t="inlineStr">
        <is>
          <t>Javier Marco</t>
        </is>
      </c>
      <c r="I73" t="inlineStr">
        <is>
          <t>España</t>
        </is>
      </c>
      <c r="J73" t="inlineStr">
        <is>
          <t>Drama, Romance</t>
        </is>
      </c>
      <c r="M73" s="6" t="n"/>
      <c r="O73" s="24" t="inlineStr"/>
      <c r="Q73" s="25" t="n"/>
      <c r="R73" s="25" t="n"/>
      <c r="S73" s="25" t="n"/>
      <c r="T73" s="25">
        <f>IF(AND(R73="",S73=""),"",N(R73)+N(S73))</f>
        <v/>
      </c>
      <c r="U73" s="25" t="n"/>
      <c r="V73" s="26" t="inlineStr">
        <is>
          <t>IMDb</t>
        </is>
      </c>
      <c r="W73" s="26" t="inlineStr">
        <is>
          <t>FilmAffinity</t>
        </is>
      </c>
      <c r="X73" s="26" t="inlineStr">
        <is>
          <t>Letterboxd</t>
        </is>
      </c>
    </row>
    <row r="74">
      <c r="A74" t="inlineStr">
        <is>
          <t>p0073</t>
        </is>
      </c>
      <c r="B74" t="inlineStr">
        <is>
          <t>Shang-Chi y la Leyenda de los Diez Anillos</t>
        </is>
      </c>
      <c r="C74" t="inlineStr">
        <is>
          <t>Shang-Chi and the Legend of the Ten Rings</t>
        </is>
      </c>
      <c r="D74" s="4" t="n">
        <v>2021</v>
      </c>
      <c r="E74" s="4">
        <f>IF(D74="","",FLOOR(D74,10))</f>
        <v/>
      </c>
      <c r="F74" s="22" t="n">
        <v>132</v>
      </c>
      <c r="G74" s="23" t="n">
        <v>4.5</v>
      </c>
      <c r="H74" t="inlineStr">
        <is>
          <t>Destin Cretton</t>
        </is>
      </c>
      <c r="I74" t="inlineStr">
        <is>
          <t>Estados Unidos</t>
        </is>
      </c>
      <c r="J74" t="inlineStr">
        <is>
          <t>Superhéroes, Acción</t>
        </is>
      </c>
      <c r="K74" t="inlineStr">
        <is>
          <t>UCM</t>
        </is>
      </c>
      <c r="L74" t="inlineStr">
        <is>
          <t>Fase 4 · Saga del Multiverso</t>
        </is>
      </c>
      <c r="M74" s="6" t="n"/>
      <c r="O74" s="24" t="inlineStr"/>
      <c r="Q74" s="25" t="n">
        <v>75388688</v>
      </c>
      <c r="R74" s="25" t="n">
        <v>224543292</v>
      </c>
      <c r="S74" s="25" t="n">
        <v>207700000</v>
      </c>
      <c r="T74" s="25">
        <f>IF(AND(R74="",S74=""),"",N(R74)+N(S74))</f>
        <v/>
      </c>
      <c r="U74" s="25" t="n">
        <v>150000000</v>
      </c>
      <c r="V74" s="26" t="inlineStr">
        <is>
          <t>IMDb</t>
        </is>
      </c>
      <c r="W74" s="26" t="inlineStr">
        <is>
          <t>FilmAffinity</t>
        </is>
      </c>
      <c r="X74" s="26" t="inlineStr">
        <is>
          <t>Letterboxd</t>
        </is>
      </c>
    </row>
    <row r="75">
      <c r="A75" t="inlineStr">
        <is>
          <t>p0074</t>
        </is>
      </c>
      <c r="B75" t="inlineStr">
        <is>
          <t>Eternals</t>
        </is>
      </c>
      <c r="C75" t="inlineStr">
        <is>
          <t>Eternals</t>
        </is>
      </c>
      <c r="D75" s="4" t="n">
        <v>2021</v>
      </c>
      <c r="E75" s="4">
        <f>IF(D75="","",FLOOR(D75,10))</f>
        <v/>
      </c>
      <c r="F75" s="22" t="n">
        <v>156</v>
      </c>
      <c r="G75" s="23" t="n">
        <v>4.5</v>
      </c>
      <c r="H75" t="inlineStr">
        <is>
          <t>Chloé Zhao</t>
        </is>
      </c>
      <c r="I75" t="inlineStr">
        <is>
          <t>Estados Unidos</t>
        </is>
      </c>
      <c r="J75" t="inlineStr">
        <is>
          <t>Superhéroes, Ciencia ficción</t>
        </is>
      </c>
      <c r="K75" t="inlineStr">
        <is>
          <t>UCM</t>
        </is>
      </c>
      <c r="L75" t="inlineStr">
        <is>
          <t>Fase 4 · Saga del Multiverso</t>
        </is>
      </c>
      <c r="M75" s="6" t="n"/>
      <c r="O75" s="24" t="inlineStr"/>
      <c r="Q75" s="25" t="n">
        <v>71297219</v>
      </c>
      <c r="R75" s="25" t="n">
        <v>164870234</v>
      </c>
      <c r="S75" s="25" t="n">
        <v>237194665</v>
      </c>
      <c r="T75" s="25">
        <f>IF(AND(R75="",S75=""),"",N(R75)+N(S75))</f>
        <v/>
      </c>
      <c r="U75" s="25" t="n">
        <v>200000000</v>
      </c>
      <c r="V75" s="26" t="inlineStr">
        <is>
          <t>IMDb</t>
        </is>
      </c>
      <c r="W75" s="26" t="inlineStr">
        <is>
          <t>FilmAffinity</t>
        </is>
      </c>
      <c r="X75" s="26" t="inlineStr">
        <is>
          <t>Letterboxd</t>
        </is>
      </c>
    </row>
    <row r="76">
      <c r="A76" t="inlineStr">
        <is>
          <t>p0075</t>
        </is>
      </c>
      <c r="B76" t="inlineStr">
        <is>
          <t>Bajocero</t>
        </is>
      </c>
      <c r="C76" t="inlineStr">
        <is>
          <t>Bajocero</t>
        </is>
      </c>
      <c r="D76" s="4" t="n">
        <v>2021</v>
      </c>
      <c r="E76" s="4">
        <f>IF(D76="","",FLOOR(D76,10))</f>
        <v/>
      </c>
      <c r="F76" s="22" t="n">
        <v>106</v>
      </c>
      <c r="G76" s="23" t="n">
        <v>4.5</v>
      </c>
      <c r="H76" t="inlineStr">
        <is>
          <t>Lluís Quílez</t>
        </is>
      </c>
      <c r="I76" t="inlineStr">
        <is>
          <t>España</t>
        </is>
      </c>
      <c r="J76" t="inlineStr">
        <is>
          <t>Acción, Thriller</t>
        </is>
      </c>
      <c r="M76" s="6" t="n"/>
      <c r="O76" s="24" t="inlineStr"/>
      <c r="Q76" s="25" t="n"/>
      <c r="R76" s="25" t="n"/>
      <c r="S76" s="25" t="n"/>
      <c r="T76" s="25">
        <f>IF(AND(R76="",S76=""),"",N(R76)+N(S76))</f>
        <v/>
      </c>
      <c r="U76" s="25" t="n"/>
      <c r="V76" s="26" t="inlineStr">
        <is>
          <t>IMDb</t>
        </is>
      </c>
      <c r="W76" s="26" t="inlineStr">
        <is>
          <t>FilmAffinity</t>
        </is>
      </c>
      <c r="X76" s="26" t="inlineStr">
        <is>
          <t>Letterboxd</t>
        </is>
      </c>
    </row>
    <row r="77">
      <c r="A77" t="inlineStr">
        <is>
          <t>p0076</t>
        </is>
      </c>
      <c r="B77" t="inlineStr">
        <is>
          <t>Free Guy</t>
        </is>
      </c>
      <c r="C77" t="inlineStr">
        <is>
          <t>Free Guy</t>
        </is>
      </c>
      <c r="D77" s="4" t="n">
        <v>2021</v>
      </c>
      <c r="E77" s="4">
        <f>IF(D77="","",FLOOR(D77,10))</f>
        <v/>
      </c>
      <c r="F77" s="22" t="n">
        <v>115</v>
      </c>
      <c r="G77" s="23" t="n">
        <v>4</v>
      </c>
      <c r="H77" t="inlineStr">
        <is>
          <t>Shawn Levy</t>
        </is>
      </c>
      <c r="I77" t="inlineStr">
        <is>
          <t>Estados Unidos</t>
        </is>
      </c>
      <c r="J77" t="inlineStr">
        <is>
          <t>Comedia, Acción, Ciencia ficción</t>
        </is>
      </c>
      <c r="M77" s="6" t="n"/>
      <c r="O77" s="24" t="inlineStr"/>
      <c r="Q77" s="25" t="n"/>
      <c r="R77" s="25" t="n"/>
      <c r="S77" s="25" t="n"/>
      <c r="T77" s="25">
        <f>IF(AND(R77="",S77=""),"",N(R77)+N(S77))</f>
        <v/>
      </c>
      <c r="U77" s="25" t="n"/>
      <c r="V77" s="26" t="inlineStr">
        <is>
          <t>IMDb</t>
        </is>
      </c>
      <c r="W77" s="26" t="inlineStr">
        <is>
          <t>FilmAffinity</t>
        </is>
      </c>
      <c r="X77" s="26" t="inlineStr">
        <is>
          <t>Letterboxd</t>
        </is>
      </c>
    </row>
    <row r="78">
      <c r="A78" t="inlineStr">
        <is>
          <t>p0077</t>
        </is>
      </c>
      <c r="B78" t="inlineStr">
        <is>
          <t>Expediente Warren: Obligado por el Demonio</t>
        </is>
      </c>
      <c r="C78" t="inlineStr">
        <is>
          <t>The Conjuring: The Devil Made Me Do It</t>
        </is>
      </c>
      <c r="D78" s="4" t="n">
        <v>2021</v>
      </c>
      <c r="E78" s="4">
        <f>IF(D78="","",FLOOR(D78,10))</f>
        <v/>
      </c>
      <c r="F78" s="22" t="n">
        <v>112</v>
      </c>
      <c r="G78" s="23" t="n">
        <v>3.7</v>
      </c>
      <c r="H78" t="inlineStr">
        <is>
          <t>Michael Chaves</t>
        </is>
      </c>
      <c r="I78" t="inlineStr">
        <is>
          <t>Estados Unidos</t>
        </is>
      </c>
      <c r="J78" t="inlineStr">
        <is>
          <t>Terror</t>
        </is>
      </c>
      <c r="K78" t="inlineStr">
        <is>
          <t>Universo Expediente Warren</t>
        </is>
      </c>
      <c r="M78" s="6" t="n"/>
      <c r="O78" s="24" t="inlineStr"/>
      <c r="Q78" s="25" t="n"/>
      <c r="R78" s="25" t="n"/>
      <c r="S78" s="25" t="n"/>
      <c r="T78" s="25">
        <f>IF(AND(R78="",S78=""),"",N(R78)+N(S78))</f>
        <v/>
      </c>
      <c r="U78" s="25" t="n"/>
      <c r="V78" s="26" t="inlineStr">
        <is>
          <t>IMDb</t>
        </is>
      </c>
      <c r="W78" s="26" t="inlineStr">
        <is>
          <t>FilmAffinity</t>
        </is>
      </c>
      <c r="X78" s="26" t="inlineStr">
        <is>
          <t>Letterboxd</t>
        </is>
      </c>
    </row>
    <row r="79">
      <c r="A79" t="inlineStr">
        <is>
          <t>p0078</t>
        </is>
      </c>
      <c r="B79" t="inlineStr">
        <is>
          <t>Titane</t>
        </is>
      </c>
      <c r="C79" t="inlineStr">
        <is>
          <t>Titane</t>
        </is>
      </c>
      <c r="D79" s="4" t="n">
        <v>2021</v>
      </c>
      <c r="E79" s="4">
        <f>IF(D79="","",FLOOR(D79,10))</f>
        <v/>
      </c>
      <c r="F79" s="22" t="n">
        <v>108</v>
      </c>
      <c r="G79" s="23" t="n">
        <v>3.5</v>
      </c>
      <c r="H79" t="inlineStr">
        <is>
          <t>Julia Ducournau</t>
        </is>
      </c>
      <c r="I79" t="inlineStr">
        <is>
          <t>Francia</t>
        </is>
      </c>
      <c r="J79" t="inlineStr">
        <is>
          <t>Terror, Drama, Ciencia ficción</t>
        </is>
      </c>
      <c r="M79" s="6" t="n"/>
      <c r="O79" s="24" t="inlineStr"/>
      <c r="Q79" s="25" t="n"/>
      <c r="R79" s="25" t="n"/>
      <c r="S79" s="25" t="n"/>
      <c r="T79" s="25">
        <f>IF(AND(R79="",S79=""),"",N(R79)+N(S79))</f>
        <v/>
      </c>
      <c r="U79" s="25" t="n"/>
      <c r="V79" s="26" t="inlineStr">
        <is>
          <t>IMDb</t>
        </is>
      </c>
      <c r="W79" s="26" t="inlineStr">
        <is>
          <t>FilmAffinity</t>
        </is>
      </c>
      <c r="X79" s="26" t="inlineStr">
        <is>
          <t>Letterboxd</t>
        </is>
      </c>
    </row>
    <row r="80">
      <c r="A80" t="inlineStr">
        <is>
          <t>p0079</t>
        </is>
      </c>
      <c r="B80" t="inlineStr">
        <is>
          <t>Veneciafrenia</t>
        </is>
      </c>
      <c r="C80" t="inlineStr">
        <is>
          <t>Veneciafrenia</t>
        </is>
      </c>
      <c r="D80" s="4" t="n">
        <v>2021</v>
      </c>
      <c r="E80" s="4">
        <f>IF(D80="","",FLOOR(D80,10))</f>
        <v/>
      </c>
      <c r="F80" s="22" t="n">
        <v>100</v>
      </c>
      <c r="G80" s="23" t="n">
        <v>3</v>
      </c>
      <c r="H80" t="inlineStr">
        <is>
          <t>Álex de la Iglesia</t>
        </is>
      </c>
      <c r="I80" t="inlineStr">
        <is>
          <t>España</t>
        </is>
      </c>
      <c r="J80" t="inlineStr">
        <is>
          <t>Terror</t>
        </is>
      </c>
      <c r="M80" s="6" t="n"/>
      <c r="O80" s="24" t="inlineStr"/>
      <c r="Q80" s="25" t="n"/>
      <c r="R80" s="25" t="n"/>
      <c r="S80" s="25" t="n"/>
      <c r="T80" s="25">
        <f>IF(AND(R80="",S80=""),"",N(R80)+N(S80))</f>
        <v/>
      </c>
      <c r="U80" s="25" t="n"/>
      <c r="V80" s="26" t="inlineStr">
        <is>
          <t>IMDb</t>
        </is>
      </c>
      <c r="W80" s="26" t="inlineStr">
        <is>
          <t>FilmAffinity</t>
        </is>
      </c>
      <c r="X80" s="26" t="inlineStr">
        <is>
          <t>Letterboxd</t>
        </is>
      </c>
    </row>
    <row r="81">
      <c r="A81" t="inlineStr">
        <is>
          <t>p0080</t>
        </is>
      </c>
      <c r="B81" t="inlineStr">
        <is>
          <t>A todo tren. Destino Asturias</t>
        </is>
      </c>
      <c r="C81" t="inlineStr">
        <is>
          <t>A todo tren. Destino Asturias</t>
        </is>
      </c>
      <c r="D81" s="4" t="n">
        <v>2021</v>
      </c>
      <c r="E81" s="4">
        <f>IF(D81="","",FLOOR(D81,10))</f>
        <v/>
      </c>
      <c r="F81" s="22" t="n">
        <v>88</v>
      </c>
      <c r="G81" s="23" t="n">
        <v>2.5</v>
      </c>
      <c r="H81" t="inlineStr">
        <is>
          <t>Santiago Segura</t>
        </is>
      </c>
      <c r="I81" t="inlineStr">
        <is>
          <t>España</t>
        </is>
      </c>
      <c r="J81" t="inlineStr">
        <is>
          <t>Comedia, Familiar</t>
        </is>
      </c>
      <c r="M81" s="6" t="n"/>
      <c r="O81" s="24" t="inlineStr"/>
      <c r="Q81" s="25" t="n"/>
      <c r="R81" s="25" t="n"/>
      <c r="S81" s="25" t="n"/>
      <c r="T81" s="25">
        <f>IF(AND(R81="",S81=""),"",N(R81)+N(S81))</f>
        <v/>
      </c>
      <c r="U81" s="25" t="n"/>
      <c r="V81" s="26" t="inlineStr">
        <is>
          <t>IMDb</t>
        </is>
      </c>
      <c r="W81" s="26" t="inlineStr">
        <is>
          <t>FilmAffinity</t>
        </is>
      </c>
      <c r="X81" s="26" t="inlineStr">
        <is>
          <t>Letterboxd</t>
        </is>
      </c>
    </row>
    <row r="82">
      <c r="A82" t="inlineStr">
        <is>
          <t>p0081</t>
        </is>
      </c>
      <c r="B82" t="inlineStr">
        <is>
          <t>Dinner in America</t>
        </is>
      </c>
      <c r="C82" t="inlineStr">
        <is>
          <t>Dinner in America</t>
        </is>
      </c>
      <c r="D82" s="4" t="n">
        <v>2020</v>
      </c>
      <c r="E82" s="4">
        <f>IF(D82="","",FLOOR(D82,10))</f>
        <v/>
      </c>
      <c r="F82" s="22" t="n">
        <v>106</v>
      </c>
      <c r="G82" s="23" t="n">
        <v>8</v>
      </c>
      <c r="H82" t="inlineStr">
        <is>
          <t>Adam Rehmeier</t>
        </is>
      </c>
      <c r="I82" t="inlineStr">
        <is>
          <t>Estados Unidos</t>
        </is>
      </c>
      <c r="J82" t="inlineStr">
        <is>
          <t>Comedia, Romance</t>
        </is>
      </c>
      <c r="M82" s="6" t="n"/>
      <c r="O82" s="24" t="inlineStr"/>
      <c r="Q82" s="25" t="n"/>
      <c r="R82" s="25" t="n"/>
      <c r="S82" s="25" t="n"/>
      <c r="T82" s="25">
        <f>IF(AND(R82="",S82=""),"",N(R82)+N(S82))</f>
        <v/>
      </c>
      <c r="U82" s="25" t="n"/>
      <c r="V82" s="26" t="inlineStr">
        <is>
          <t>IMDb</t>
        </is>
      </c>
      <c r="W82" s="26" t="inlineStr">
        <is>
          <t>FilmAffinity</t>
        </is>
      </c>
      <c r="X82" s="26" t="inlineStr">
        <is>
          <t>Letterboxd</t>
        </is>
      </c>
    </row>
    <row r="83">
      <c r="A83" t="inlineStr">
        <is>
          <t>p0082</t>
        </is>
      </c>
      <c r="B83" t="inlineStr">
        <is>
          <t>El Padre</t>
        </is>
      </c>
      <c r="C83" t="inlineStr">
        <is>
          <t>The Father</t>
        </is>
      </c>
      <c r="D83" s="4" t="n">
        <v>2020</v>
      </c>
      <c r="E83" s="4">
        <f>IF(D83="","",FLOOR(D83,10))</f>
        <v/>
      </c>
      <c r="F83" s="22" t="n">
        <v>97</v>
      </c>
      <c r="G83" s="23" t="n">
        <v>7.5</v>
      </c>
      <c r="H83" t="inlineStr">
        <is>
          <t>Florian Zeller</t>
        </is>
      </c>
      <c r="I83" t="inlineStr">
        <is>
          <t>Estados Unidos</t>
        </is>
      </c>
      <c r="J83" t="inlineStr">
        <is>
          <t>Drama</t>
        </is>
      </c>
      <c r="M83" s="6" t="n"/>
      <c r="O83" s="24" t="inlineStr"/>
      <c r="Q83" s="25" t="n"/>
      <c r="R83" s="25" t="n"/>
      <c r="S83" s="25" t="n"/>
      <c r="T83" s="25">
        <f>IF(AND(R83="",S83=""),"",N(R83)+N(S83))</f>
        <v/>
      </c>
      <c r="U83" s="25" t="n"/>
      <c r="V83" s="26" t="inlineStr">
        <is>
          <t>IMDb</t>
        </is>
      </c>
      <c r="W83" s="26" t="inlineStr">
        <is>
          <t>FilmAffinity</t>
        </is>
      </c>
      <c r="X83" s="26" t="inlineStr">
        <is>
          <t>Letterboxd</t>
        </is>
      </c>
    </row>
    <row r="84">
      <c r="A84" t="inlineStr">
        <is>
          <t>p0083</t>
        </is>
      </c>
      <c r="B84" t="inlineStr">
        <is>
          <t>Soul</t>
        </is>
      </c>
      <c r="C84" t="inlineStr">
        <is>
          <t>Soul</t>
        </is>
      </c>
      <c r="D84" s="4" t="n">
        <v>2020</v>
      </c>
      <c r="E84" s="4">
        <f>IF(D84="","",FLOOR(D84,10))</f>
        <v/>
      </c>
      <c r="F84" s="22" t="n">
        <v>100</v>
      </c>
      <c r="G84" s="23" t="n">
        <v>7.3</v>
      </c>
      <c r="H84" t="inlineStr">
        <is>
          <t>Pete Docter / Kemp Powers</t>
        </is>
      </c>
      <c r="I84" t="inlineStr">
        <is>
          <t>Estados Unidos</t>
        </is>
      </c>
      <c r="J84" t="inlineStr">
        <is>
          <t>Animación, Comedia, Fantasía</t>
        </is>
      </c>
      <c r="M84" s="6" t="n"/>
      <c r="O84" s="24" t="inlineStr"/>
      <c r="Q84" s="25" t="n"/>
      <c r="R84" s="25" t="n"/>
      <c r="S84" s="25" t="n"/>
      <c r="T84" s="25">
        <f>IF(AND(R84="",S84=""),"",N(R84)+N(S84))</f>
        <v/>
      </c>
      <c r="U84" s="25" t="n"/>
      <c r="V84" s="26" t="inlineStr">
        <is>
          <t>IMDb</t>
        </is>
      </c>
      <c r="W84" s="26" t="inlineStr">
        <is>
          <t>FilmAffinity</t>
        </is>
      </c>
      <c r="X84" s="26" t="inlineStr">
        <is>
          <t>Letterboxd</t>
        </is>
      </c>
    </row>
    <row r="85">
      <c r="A85" t="inlineStr">
        <is>
          <t>p0084</t>
        </is>
      </c>
      <c r="B85" t="inlineStr">
        <is>
          <t>Otra ronda</t>
        </is>
      </c>
      <c r="C85" t="inlineStr">
        <is>
          <t>Druk</t>
        </is>
      </c>
      <c r="D85" s="4" t="n">
        <v>2020</v>
      </c>
      <c r="E85" s="4">
        <f>IF(D85="","",FLOOR(D85,10))</f>
        <v/>
      </c>
      <c r="F85" s="22" t="n">
        <v>116</v>
      </c>
      <c r="G85" s="23" t="n">
        <v>7.3</v>
      </c>
      <c r="H85" t="inlineStr">
        <is>
          <t>Thomas Vinterberg</t>
        </is>
      </c>
      <c r="I85" t="inlineStr">
        <is>
          <t>Dinamarca</t>
        </is>
      </c>
      <c r="J85" t="inlineStr">
        <is>
          <t>Drama, Comedia</t>
        </is>
      </c>
      <c r="M85" s="6" t="n"/>
      <c r="O85" s="24" t="inlineStr"/>
      <c r="Q85" s="25" t="n"/>
      <c r="R85" s="25" t="n"/>
      <c r="S85" s="25" t="n"/>
      <c r="T85" s="25">
        <f>IF(AND(R85="",S85=""),"",N(R85)+N(S85))</f>
        <v/>
      </c>
      <c r="U85" s="25" t="n"/>
      <c r="V85" s="26" t="inlineStr">
        <is>
          <t>IMDb</t>
        </is>
      </c>
      <c r="W85" s="26" t="inlineStr">
        <is>
          <t>FilmAffinity</t>
        </is>
      </c>
      <c r="X85" s="26" t="inlineStr">
        <is>
          <t>Letterboxd</t>
        </is>
      </c>
    </row>
    <row r="86">
      <c r="A86" t="inlineStr">
        <is>
          <t>p0085</t>
        </is>
      </c>
      <c r="B86" t="inlineStr">
        <is>
          <t>Tenet</t>
        </is>
      </c>
      <c r="C86" t="inlineStr">
        <is>
          <t>Tenet</t>
        </is>
      </c>
      <c r="D86" s="4" t="n">
        <v>2020</v>
      </c>
      <c r="E86" s="4">
        <f>IF(D86="","",FLOOR(D86,10))</f>
        <v/>
      </c>
      <c r="F86" s="22" t="n">
        <v>150</v>
      </c>
      <c r="G86" s="23" t="n">
        <v>7.2</v>
      </c>
      <c r="H86" t="inlineStr">
        <is>
          <t>Christopher Nolan</t>
        </is>
      </c>
      <c r="I86" t="inlineStr">
        <is>
          <t>Reino Unido</t>
        </is>
      </c>
      <c r="J86" t="inlineStr">
        <is>
          <t>Ciencia ficción, Acción, Thriller</t>
        </is>
      </c>
      <c r="M86" s="6" t="n"/>
      <c r="O86" s="24" t="inlineStr"/>
      <c r="Q86" s="25" t="n"/>
      <c r="R86" s="25" t="n"/>
      <c r="S86" s="25" t="n"/>
      <c r="T86" s="25">
        <f>IF(AND(R86="",S86=""),"",N(R86)+N(S86))</f>
        <v/>
      </c>
      <c r="U86" s="25" t="n"/>
      <c r="V86" s="26" t="inlineStr">
        <is>
          <t>IMDb</t>
        </is>
      </c>
      <c r="W86" s="26" t="inlineStr">
        <is>
          <t>FilmAffinity</t>
        </is>
      </c>
      <c r="X86" s="26" t="inlineStr">
        <is>
          <t>Letterboxd</t>
        </is>
      </c>
    </row>
    <row r="87">
      <c r="A87" t="inlineStr">
        <is>
          <t>p0086</t>
        </is>
      </c>
      <c r="B87" t="inlineStr">
        <is>
          <t>No matarás</t>
        </is>
      </c>
      <c r="C87" t="inlineStr">
        <is>
          <t>No matarás</t>
        </is>
      </c>
      <c r="D87" s="4" t="n">
        <v>2020</v>
      </c>
      <c r="E87" s="4">
        <f>IF(D87="","",FLOOR(D87,10))</f>
        <v/>
      </c>
      <c r="F87" s="22" t="n">
        <v>92</v>
      </c>
      <c r="G87" s="23" t="n">
        <v>7</v>
      </c>
      <c r="H87" t="inlineStr">
        <is>
          <t>David Victori</t>
        </is>
      </c>
      <c r="I87" t="inlineStr">
        <is>
          <t>España</t>
        </is>
      </c>
      <c r="J87" t="inlineStr">
        <is>
          <t>Thriller</t>
        </is>
      </c>
      <c r="M87" s="6" t="n"/>
      <c r="O87" s="24" t="inlineStr"/>
      <c r="Q87" s="25" t="n"/>
      <c r="R87" s="25" t="n"/>
      <c r="S87" s="25" t="n"/>
      <c r="T87" s="25">
        <f>IF(AND(R87="",S87=""),"",N(R87)+N(S87))</f>
        <v/>
      </c>
      <c r="U87" s="25" t="n"/>
      <c r="V87" s="26" t="inlineStr">
        <is>
          <t>IMDb</t>
        </is>
      </c>
      <c r="W87" s="26" t="inlineStr">
        <is>
          <t>FilmAffinity</t>
        </is>
      </c>
      <c r="X87" s="26" t="inlineStr">
        <is>
          <t>Letterboxd</t>
        </is>
      </c>
    </row>
    <row r="88">
      <c r="A88" t="inlineStr">
        <is>
          <t>p0087</t>
        </is>
      </c>
      <c r="B88" t="inlineStr">
        <is>
          <t>Historias lamentables</t>
        </is>
      </c>
      <c r="C88" t="inlineStr">
        <is>
          <t>Historias lamentables</t>
        </is>
      </c>
      <c r="D88" s="4" t="n">
        <v>2020</v>
      </c>
      <c r="E88" s="4">
        <f>IF(D88="","",FLOOR(D88,10))</f>
        <v/>
      </c>
      <c r="F88" s="22" t="n">
        <v>129</v>
      </c>
      <c r="G88" s="23" t="n">
        <v>6.7</v>
      </c>
      <c r="H88" t="inlineStr">
        <is>
          <t>Javier Fesser</t>
        </is>
      </c>
      <c r="I88" t="inlineStr">
        <is>
          <t>España</t>
        </is>
      </c>
      <c r="J88" t="inlineStr">
        <is>
          <t>Comedia</t>
        </is>
      </c>
      <c r="M88" s="6" t="n"/>
      <c r="O88" s="24" t="inlineStr"/>
      <c r="Q88" s="25" t="n"/>
      <c r="R88" s="25" t="n"/>
      <c r="S88" s="25" t="n"/>
      <c r="T88" s="25">
        <f>IF(AND(R88="",S88=""),"",N(R88)+N(S88))</f>
        <v/>
      </c>
      <c r="U88" s="25" t="n"/>
      <c r="V88" s="26" t="inlineStr">
        <is>
          <t>IMDb</t>
        </is>
      </c>
      <c r="W88" s="26" t="inlineStr">
        <is>
          <t>FilmAffinity</t>
        </is>
      </c>
      <c r="X88" s="26" t="inlineStr">
        <is>
          <t>Letterboxd</t>
        </is>
      </c>
    </row>
    <row r="89">
      <c r="A89" t="inlineStr">
        <is>
          <t>p0088</t>
        </is>
      </c>
      <c r="B89" t="inlineStr">
        <is>
          <t>El Hombre Invisible</t>
        </is>
      </c>
      <c r="C89" t="inlineStr">
        <is>
          <t>The Invisible Man</t>
        </is>
      </c>
      <c r="D89" s="4" t="n">
        <v>2020</v>
      </c>
      <c r="E89" s="4">
        <f>IF(D89="","",FLOOR(D89,10))</f>
        <v/>
      </c>
      <c r="F89" s="22" t="n">
        <v>124</v>
      </c>
      <c r="G89" s="23" t="n">
        <v>6.7</v>
      </c>
      <c r="H89" t="inlineStr">
        <is>
          <t>Leigh Whannell</t>
        </is>
      </c>
      <c r="I89" t="inlineStr">
        <is>
          <t>Estados Unidos</t>
        </is>
      </c>
      <c r="J89" t="inlineStr">
        <is>
          <t>Terror, Ciencia ficción, Thriller</t>
        </is>
      </c>
      <c r="M89" s="6" t="n"/>
      <c r="O89" s="24" t="inlineStr"/>
      <c r="Q89" s="25" t="n"/>
      <c r="R89" s="25" t="n"/>
      <c r="S89" s="25" t="n"/>
      <c r="T89" s="25">
        <f>IF(AND(R89="",S89=""),"",N(R89)+N(S89))</f>
        <v/>
      </c>
      <c r="U89" s="25" t="n"/>
      <c r="V89" s="26" t="inlineStr">
        <is>
          <t>IMDb</t>
        </is>
      </c>
      <c r="W89" s="26" t="inlineStr">
        <is>
          <t>FilmAffinity</t>
        </is>
      </c>
      <c r="X89" s="26" t="inlineStr">
        <is>
          <t>Letterboxd</t>
        </is>
      </c>
    </row>
    <row r="90">
      <c r="A90" t="inlineStr">
        <is>
          <t>p0089</t>
        </is>
      </c>
      <c r="B90" t="inlineStr">
        <is>
          <t>Tyler Rake</t>
        </is>
      </c>
      <c r="C90" t="inlineStr">
        <is>
          <t>Extraction</t>
        </is>
      </c>
      <c r="D90" s="4" t="n">
        <v>2020</v>
      </c>
      <c r="E90" s="4">
        <f>IF(D90="","",FLOOR(D90,10))</f>
        <v/>
      </c>
      <c r="F90" s="22" t="n">
        <v>117</v>
      </c>
      <c r="G90" s="23" t="n">
        <v>6.7</v>
      </c>
      <c r="H90" t="inlineStr">
        <is>
          <t>Sam Hargrave</t>
        </is>
      </c>
      <c r="I90" t="inlineStr">
        <is>
          <t>Estados Unidos</t>
        </is>
      </c>
      <c r="J90" t="inlineStr">
        <is>
          <t>Acción, Thriller</t>
        </is>
      </c>
      <c r="M90" s="6" t="n"/>
      <c r="O90" s="24" t="inlineStr"/>
      <c r="Q90" s="25" t="n"/>
      <c r="R90" s="25" t="n"/>
      <c r="S90" s="25" t="n"/>
      <c r="T90" s="25">
        <f>IF(AND(R90="",S90=""),"",N(R90)+N(S90))</f>
        <v/>
      </c>
      <c r="U90" s="25" t="n"/>
      <c r="V90" s="26" t="inlineStr">
        <is>
          <t>IMDb</t>
        </is>
      </c>
      <c r="W90" s="26" t="inlineStr">
        <is>
          <t>FilmAffinity</t>
        </is>
      </c>
      <c r="X90" s="26" t="inlineStr">
        <is>
          <t>Letterboxd</t>
        </is>
      </c>
    </row>
    <row r="91">
      <c r="A91" t="inlineStr">
        <is>
          <t>p0090</t>
        </is>
      </c>
      <c r="B91" t="inlineStr">
        <is>
          <t>Una Joven Prometedora</t>
        </is>
      </c>
      <c r="C91" t="inlineStr">
        <is>
          <t>Promising Young Woman</t>
        </is>
      </c>
      <c r="D91" s="4" t="n">
        <v>2020</v>
      </c>
      <c r="E91" s="4">
        <f>IF(D91="","",FLOOR(D91,10))</f>
        <v/>
      </c>
      <c r="F91" s="22" t="n">
        <v>113</v>
      </c>
      <c r="G91" s="23" t="n">
        <v>6.7</v>
      </c>
      <c r="H91" t="inlineStr">
        <is>
          <t>Emerald Fennell</t>
        </is>
      </c>
      <c r="I91" t="inlineStr">
        <is>
          <t>Reino Unido</t>
        </is>
      </c>
      <c r="J91" t="inlineStr">
        <is>
          <t>Thriller, Drama, Comedia</t>
        </is>
      </c>
      <c r="M91" s="6" t="n"/>
      <c r="O91" s="24" t="inlineStr"/>
      <c r="Q91" s="25" t="n"/>
      <c r="R91" s="25" t="n"/>
      <c r="S91" s="25" t="n"/>
      <c r="T91" s="25">
        <f>IF(AND(R91="",S91=""),"",N(R91)+N(S91))</f>
        <v/>
      </c>
      <c r="U91" s="25" t="n"/>
      <c r="V91" s="26" t="inlineStr">
        <is>
          <t>IMDb</t>
        </is>
      </c>
      <c r="W91" s="26" t="inlineStr">
        <is>
          <t>FilmAffinity</t>
        </is>
      </c>
      <c r="X91" s="26" t="inlineStr">
        <is>
          <t>Letterboxd</t>
        </is>
      </c>
    </row>
    <row r="92">
      <c r="A92" t="inlineStr">
        <is>
          <t>p0091</t>
        </is>
      </c>
      <c r="B92" t="inlineStr">
        <is>
          <t>Onward</t>
        </is>
      </c>
      <c r="C92" t="inlineStr">
        <is>
          <t>Onward</t>
        </is>
      </c>
      <c r="D92" s="4" t="n">
        <v>2020</v>
      </c>
      <c r="E92" s="4">
        <f>IF(D92="","",FLOOR(D92,10))</f>
        <v/>
      </c>
      <c r="F92" s="22" t="n">
        <v>102</v>
      </c>
      <c r="G92" s="23" t="n">
        <v>6.6</v>
      </c>
      <c r="H92" t="inlineStr">
        <is>
          <t>Dan Scanlon</t>
        </is>
      </c>
      <c r="I92" t="inlineStr">
        <is>
          <t>Estados Unidos</t>
        </is>
      </c>
      <c r="J92" t="inlineStr">
        <is>
          <t>Animación, Aventura, Fantasía</t>
        </is>
      </c>
      <c r="M92" s="6" t="n"/>
      <c r="O92" s="24" t="inlineStr"/>
      <c r="Q92" s="25" t="n"/>
      <c r="R92" s="25" t="n"/>
      <c r="S92" s="25" t="n"/>
      <c r="T92" s="25">
        <f>IF(AND(R92="",S92=""),"",N(R92)+N(S92))</f>
        <v/>
      </c>
      <c r="U92" s="25" t="n"/>
      <c r="V92" s="26" t="inlineStr">
        <is>
          <t>IMDb</t>
        </is>
      </c>
      <c r="W92" s="26" t="inlineStr">
        <is>
          <t>FilmAffinity</t>
        </is>
      </c>
      <c r="X92" s="26" t="inlineStr">
        <is>
          <t>Letterboxd</t>
        </is>
      </c>
    </row>
    <row r="93">
      <c r="A93" t="inlineStr">
        <is>
          <t>p0092</t>
        </is>
      </c>
      <c r="B93" t="inlineStr">
        <is>
          <t>Sentimental</t>
        </is>
      </c>
      <c r="C93" t="inlineStr">
        <is>
          <t>Sentimental</t>
        </is>
      </c>
      <c r="D93" s="4" t="n">
        <v>2020</v>
      </c>
      <c r="E93" s="4">
        <f>IF(D93="","",FLOOR(D93,10))</f>
        <v/>
      </c>
      <c r="F93" s="22" t="n">
        <v>82</v>
      </c>
      <c r="G93" s="23" t="n">
        <v>6.6</v>
      </c>
      <c r="H93" t="inlineStr">
        <is>
          <t>Cesc Gay</t>
        </is>
      </c>
      <c r="I93" t="inlineStr">
        <is>
          <t>España</t>
        </is>
      </c>
      <c r="J93" t="inlineStr">
        <is>
          <t>Comedia, Drama</t>
        </is>
      </c>
      <c r="M93" s="6" t="n"/>
      <c r="O93" s="24" t="inlineStr"/>
      <c r="Q93" s="25" t="n"/>
      <c r="R93" s="25" t="n"/>
      <c r="S93" s="25" t="n"/>
      <c r="T93" s="25">
        <f>IF(AND(R93="",S93=""),"",N(R93)+N(S93))</f>
        <v/>
      </c>
      <c r="U93" s="25" t="n"/>
      <c r="V93" s="26" t="inlineStr">
        <is>
          <t>IMDb</t>
        </is>
      </c>
      <c r="W93" s="26" t="inlineStr">
        <is>
          <t>FilmAffinity</t>
        </is>
      </c>
      <c r="X93" s="26" t="inlineStr">
        <is>
          <t>Letterboxd</t>
        </is>
      </c>
    </row>
    <row r="94">
      <c r="A94" t="inlineStr">
        <is>
          <t>p0093</t>
        </is>
      </c>
      <c r="B94" t="inlineStr">
        <is>
          <t>El practicante</t>
        </is>
      </c>
      <c r="C94" t="inlineStr">
        <is>
          <t>El practicante</t>
        </is>
      </c>
      <c r="D94" s="4" t="n">
        <v>2020</v>
      </c>
      <c r="E94" s="4">
        <f>IF(D94="","",FLOOR(D94,10))</f>
        <v/>
      </c>
      <c r="F94" s="22" t="n">
        <v>94</v>
      </c>
      <c r="G94" s="23" t="n">
        <v>6.5</v>
      </c>
      <c r="H94" t="inlineStr">
        <is>
          <t>Carles Torras</t>
        </is>
      </c>
      <c r="I94" t="inlineStr">
        <is>
          <t>España</t>
        </is>
      </c>
      <c r="J94" t="inlineStr">
        <is>
          <t>Thriller, Terror</t>
        </is>
      </c>
      <c r="M94" s="6" t="n"/>
      <c r="O94" s="24" t="inlineStr"/>
      <c r="Q94" s="25" t="n"/>
      <c r="R94" s="25" t="n"/>
      <c r="S94" s="25" t="n"/>
      <c r="T94" s="25">
        <f>IF(AND(R94="",S94=""),"",N(R94)+N(S94))</f>
        <v/>
      </c>
      <c r="U94" s="25" t="n"/>
      <c r="V94" s="26" t="inlineStr">
        <is>
          <t>IMDb</t>
        </is>
      </c>
      <c r="W94" s="26" t="inlineStr">
        <is>
          <t>FilmAffinity</t>
        </is>
      </c>
      <c r="X94" s="26" t="inlineStr">
        <is>
          <t>Letterboxd</t>
        </is>
      </c>
    </row>
    <row r="95">
      <c r="A95" t="inlineStr">
        <is>
          <t>p0094</t>
        </is>
      </c>
      <c r="B95" t="inlineStr">
        <is>
          <t>El juicio de los 7 de Chicago</t>
        </is>
      </c>
      <c r="C95" t="inlineStr">
        <is>
          <t>The Trial of the Chicago 7</t>
        </is>
      </c>
      <c r="D95" s="4" t="n">
        <v>2020</v>
      </c>
      <c r="E95" s="4">
        <f>IF(D95="","",FLOOR(D95,10))</f>
        <v/>
      </c>
      <c r="F95" s="22" t="n">
        <v>129</v>
      </c>
      <c r="G95" s="23" t="n">
        <v>6.3</v>
      </c>
      <c r="H95" t="inlineStr">
        <is>
          <t>Aaron Sorkin</t>
        </is>
      </c>
      <c r="I95" t="inlineStr">
        <is>
          <t>Estados Unidos</t>
        </is>
      </c>
      <c r="J95" t="inlineStr">
        <is>
          <t>Drama, Histórico</t>
        </is>
      </c>
      <c r="M95" s="6" t="n"/>
      <c r="O95" s="24" t="inlineStr"/>
      <c r="Q95" s="25" t="n"/>
      <c r="R95" s="25" t="n"/>
      <c r="S95" s="25" t="n"/>
      <c r="T95" s="25">
        <f>IF(AND(R95="",S95=""),"",N(R95)+N(S95))</f>
        <v/>
      </c>
      <c r="U95" s="25" t="n"/>
      <c r="V95" s="26" t="inlineStr">
        <is>
          <t>IMDb</t>
        </is>
      </c>
      <c r="W95" s="26" t="inlineStr">
        <is>
          <t>FilmAffinity</t>
        </is>
      </c>
      <c r="X95" s="26" t="inlineStr">
        <is>
          <t>Letterboxd</t>
        </is>
      </c>
    </row>
    <row r="96">
      <c r="A96" t="inlineStr">
        <is>
          <t>p0095</t>
        </is>
      </c>
      <c r="B96" t="inlineStr">
        <is>
          <t>Uno para todos</t>
        </is>
      </c>
      <c r="C96" t="inlineStr">
        <is>
          <t>Uno para todos</t>
        </is>
      </c>
      <c r="D96" s="4" t="n">
        <v>2020</v>
      </c>
      <c r="E96" s="4">
        <f>IF(D96="","",FLOOR(D96,10))</f>
        <v/>
      </c>
      <c r="F96" s="22" t="n">
        <v>91</v>
      </c>
      <c r="G96" s="23" t="n">
        <v>6.3</v>
      </c>
      <c r="H96" t="inlineStr">
        <is>
          <t>David Ilundain</t>
        </is>
      </c>
      <c r="I96" t="inlineStr">
        <is>
          <t>España</t>
        </is>
      </c>
      <c r="J96" t="inlineStr">
        <is>
          <t>Drama</t>
        </is>
      </c>
      <c r="M96" s="6" t="n"/>
      <c r="O96" s="24" t="inlineStr"/>
      <c r="Q96" s="25" t="n"/>
      <c r="R96" s="25" t="n"/>
      <c r="S96" s="25" t="n"/>
      <c r="T96" s="25">
        <f>IF(AND(R96="",S96=""),"",N(R96)+N(S96))</f>
        <v/>
      </c>
      <c r="U96" s="25" t="n"/>
      <c r="V96" s="26" t="inlineStr">
        <is>
          <t>IMDb</t>
        </is>
      </c>
      <c r="W96" s="26" t="inlineStr">
        <is>
          <t>FilmAffinity</t>
        </is>
      </c>
      <c r="X96" s="26" t="inlineStr">
        <is>
          <t>Letterboxd</t>
        </is>
      </c>
    </row>
    <row r="97">
      <c r="A97" t="inlineStr">
        <is>
          <t>p0096</t>
        </is>
      </c>
      <c r="B97" t="inlineStr">
        <is>
          <t>Las niñas</t>
        </is>
      </c>
      <c r="C97" t="inlineStr">
        <is>
          <t>Las niñas</t>
        </is>
      </c>
      <c r="D97" s="4" t="n">
        <v>2020</v>
      </c>
      <c r="E97" s="4">
        <f>IF(D97="","",FLOOR(D97,10))</f>
        <v/>
      </c>
      <c r="F97" s="22" t="n">
        <v>100</v>
      </c>
      <c r="G97" s="23" t="n">
        <v>6.2</v>
      </c>
      <c r="H97" t="inlineStr">
        <is>
          <t>Pilar Palomero</t>
        </is>
      </c>
      <c r="I97" t="inlineStr">
        <is>
          <t>España</t>
        </is>
      </c>
      <c r="J97" t="inlineStr">
        <is>
          <t>Drama</t>
        </is>
      </c>
      <c r="M97" s="6" t="n"/>
      <c r="O97" s="24" t="inlineStr"/>
      <c r="Q97" s="25" t="n"/>
      <c r="R97" s="25" t="n"/>
      <c r="S97" s="25" t="n"/>
      <c r="T97" s="25">
        <f>IF(AND(R97="",S97=""),"",N(R97)+N(S97))</f>
        <v/>
      </c>
      <c r="U97" s="25" t="n"/>
      <c r="V97" s="26" t="inlineStr">
        <is>
          <t>IMDb</t>
        </is>
      </c>
      <c r="W97" s="26" t="inlineStr">
        <is>
          <t>FilmAffinity</t>
        </is>
      </c>
      <c r="X97" s="26" t="inlineStr">
        <is>
          <t>Letterboxd</t>
        </is>
      </c>
    </row>
    <row r="98">
      <c r="A98" t="inlineStr">
        <is>
          <t>p0097</t>
        </is>
      </c>
      <c r="B98" t="inlineStr">
        <is>
          <t>Malnazidos</t>
        </is>
      </c>
      <c r="C98" t="inlineStr">
        <is>
          <t>Malnazidos</t>
        </is>
      </c>
      <c r="D98" s="4" t="n">
        <v>2020</v>
      </c>
      <c r="E98" s="4">
        <f>IF(D98="","",FLOOR(D98,10))</f>
        <v/>
      </c>
      <c r="F98" s="22" t="n">
        <v>101</v>
      </c>
      <c r="G98" s="23" t="n">
        <v>6.1</v>
      </c>
      <c r="H98" t="inlineStr">
        <is>
          <t>Javier Ruíz Caldera / Alberto del Toro</t>
        </is>
      </c>
      <c r="I98" t="inlineStr">
        <is>
          <t>España</t>
        </is>
      </c>
      <c r="J98" t="inlineStr">
        <is>
          <t>Comedia, Terror, Bélico</t>
        </is>
      </c>
      <c r="M98" s="6" t="n"/>
      <c r="O98" s="24" t="inlineStr"/>
      <c r="Q98" s="25" t="n"/>
      <c r="R98" s="25" t="n"/>
      <c r="S98" s="25" t="n"/>
      <c r="T98" s="25">
        <f>IF(AND(R98="",S98=""),"",N(R98)+N(S98))</f>
        <v/>
      </c>
      <c r="U98" s="25" t="n"/>
      <c r="V98" s="26" t="inlineStr">
        <is>
          <t>IMDb</t>
        </is>
      </c>
      <c r="W98" s="26" t="inlineStr">
        <is>
          <t>FilmAffinity</t>
        </is>
      </c>
      <c r="X98" s="26" t="inlineStr">
        <is>
          <t>Letterboxd</t>
        </is>
      </c>
    </row>
    <row r="99">
      <c r="A99" t="inlineStr">
        <is>
          <t>p0098</t>
        </is>
      </c>
      <c r="B99" t="inlineStr">
        <is>
          <t>Relic</t>
        </is>
      </c>
      <c r="C99" t="inlineStr">
        <is>
          <t>Relic</t>
        </is>
      </c>
      <c r="D99" s="4" t="n">
        <v>2020</v>
      </c>
      <c r="E99" s="4">
        <f>IF(D99="","",FLOOR(D99,10))</f>
        <v/>
      </c>
      <c r="F99" s="22" t="n">
        <v>86</v>
      </c>
      <c r="G99" s="23" t="n">
        <v>5.9</v>
      </c>
      <c r="H99" t="inlineStr">
        <is>
          <t>Natalie Erika James</t>
        </is>
      </c>
      <c r="I99" t="inlineStr">
        <is>
          <t>Australia</t>
        </is>
      </c>
      <c r="J99" t="inlineStr">
        <is>
          <t>Terror</t>
        </is>
      </c>
      <c r="M99" s="6" t="n"/>
      <c r="O99" s="24" t="inlineStr"/>
      <c r="Q99" s="25" t="n"/>
      <c r="R99" s="25" t="n"/>
      <c r="S99" s="25" t="n"/>
      <c r="T99" s="25">
        <f>IF(AND(R99="",S99=""),"",N(R99)+N(S99))</f>
        <v/>
      </c>
      <c r="U99" s="25" t="n"/>
      <c r="V99" s="26" t="inlineStr">
        <is>
          <t>IMDb</t>
        </is>
      </c>
      <c r="W99" s="26" t="inlineStr">
        <is>
          <t>FilmAffinity</t>
        </is>
      </c>
      <c r="X99" s="26" t="inlineStr">
        <is>
          <t>Letterboxd</t>
        </is>
      </c>
    </row>
    <row r="100">
      <c r="A100" t="inlineStr">
        <is>
          <t>p0099</t>
        </is>
      </c>
      <c r="B100" t="inlineStr">
        <is>
          <t>El Jinete del Dragón</t>
        </is>
      </c>
      <c r="C100" t="inlineStr">
        <is>
          <t>Dragon Rider</t>
        </is>
      </c>
      <c r="D100" s="4" t="n">
        <v>2020</v>
      </c>
      <c r="E100" s="4">
        <f>IF(D100="","",FLOOR(D100,10))</f>
        <v/>
      </c>
      <c r="F100" s="22" t="n">
        <v>100</v>
      </c>
      <c r="G100" s="23" t="n">
        <v>5.8</v>
      </c>
      <c r="H100" t="inlineStr">
        <is>
          <t>Tomer Eshed</t>
        </is>
      </c>
      <c r="I100" t="inlineStr">
        <is>
          <t>Alemania</t>
        </is>
      </c>
      <c r="J100" t="inlineStr">
        <is>
          <t>Animación, Aventura, Fantasía</t>
        </is>
      </c>
      <c r="M100" s="6" t="n"/>
      <c r="O100" s="24" t="inlineStr"/>
      <c r="Q100" s="25" t="n"/>
      <c r="R100" s="25" t="n"/>
      <c r="S100" s="25" t="n"/>
      <c r="T100" s="25">
        <f>IF(AND(R100="",S100=""),"",N(R100)+N(S100))</f>
        <v/>
      </c>
      <c r="U100" s="25" t="n"/>
      <c r="V100" s="26" t="inlineStr">
        <is>
          <t>IMDb</t>
        </is>
      </c>
      <c r="W100" s="26" t="inlineStr">
        <is>
          <t>FilmAffinity</t>
        </is>
      </c>
      <c r="X100" s="26" t="inlineStr">
        <is>
          <t>Letterboxd</t>
        </is>
      </c>
    </row>
    <row r="101">
      <c r="A101" t="inlineStr">
        <is>
          <t>p0100</t>
        </is>
      </c>
      <c r="B101" t="inlineStr">
        <is>
          <t>Ane</t>
        </is>
      </c>
      <c r="C101" t="inlineStr">
        <is>
          <t>Ane</t>
        </is>
      </c>
      <c r="D101" s="4" t="n">
        <v>2020</v>
      </c>
      <c r="E101" s="4">
        <f>IF(D101="","",FLOOR(D101,10))</f>
        <v/>
      </c>
      <c r="F101" s="22" t="n">
        <v>100</v>
      </c>
      <c r="G101" s="23" t="n">
        <v>5.5</v>
      </c>
      <c r="H101" t="inlineStr">
        <is>
          <t>David P. Sañudo</t>
        </is>
      </c>
      <c r="I101" t="inlineStr">
        <is>
          <t>España</t>
        </is>
      </c>
      <c r="J101" t="inlineStr">
        <is>
          <t>Drama, Thriller</t>
        </is>
      </c>
      <c r="M101" s="6" t="n"/>
      <c r="O101" s="24" t="inlineStr"/>
      <c r="Q101" s="25" t="n"/>
      <c r="R101" s="25" t="n"/>
      <c r="S101" s="25" t="n"/>
      <c r="T101" s="25">
        <f>IF(AND(R101="",S101=""),"",N(R101)+N(S101))</f>
        <v/>
      </c>
      <c r="U101" s="25" t="n"/>
      <c r="V101" s="26" t="inlineStr">
        <is>
          <t>IMDb</t>
        </is>
      </c>
      <c r="W101" s="26" t="inlineStr">
        <is>
          <t>FilmAffinity</t>
        </is>
      </c>
      <c r="X101" s="26" t="inlineStr">
        <is>
          <t>Letterboxd</t>
        </is>
      </c>
    </row>
    <row r="102">
      <c r="A102" t="inlineStr">
        <is>
          <t>p0101</t>
        </is>
      </c>
      <c r="B102" t="inlineStr">
        <is>
          <t>Hogar</t>
        </is>
      </c>
      <c r="C102" t="inlineStr">
        <is>
          <t>Hogar</t>
        </is>
      </c>
      <c r="D102" s="4" t="n">
        <v>2020</v>
      </c>
      <c r="E102" s="4">
        <f>IF(D102="","",FLOOR(D102,10))</f>
        <v/>
      </c>
      <c r="F102" s="22" t="n">
        <v>103</v>
      </c>
      <c r="G102" s="23" t="n">
        <v>5.4</v>
      </c>
      <c r="H102" t="inlineStr">
        <is>
          <t>Álex Pastor / David Pastor</t>
        </is>
      </c>
      <c r="I102" t="inlineStr">
        <is>
          <t>España</t>
        </is>
      </c>
      <c r="J102" t="inlineStr">
        <is>
          <t>Thriller</t>
        </is>
      </c>
      <c r="M102" s="6" t="n"/>
      <c r="O102" s="24" t="inlineStr"/>
      <c r="Q102" s="25" t="n"/>
      <c r="R102" s="25" t="n"/>
      <c r="S102" s="25" t="n"/>
      <c r="T102" s="25">
        <f>IF(AND(R102="",S102=""),"",N(R102)+N(S102))</f>
        <v/>
      </c>
      <c r="U102" s="25" t="n"/>
      <c r="V102" s="26" t="inlineStr">
        <is>
          <t>IMDb</t>
        </is>
      </c>
      <c r="W102" s="26" t="inlineStr">
        <is>
          <t>FilmAffinity</t>
        </is>
      </c>
      <c r="X102" s="26" t="inlineStr">
        <is>
          <t>Letterboxd</t>
        </is>
      </c>
    </row>
    <row r="103">
      <c r="A103" t="inlineStr">
        <is>
          <t>p0102</t>
        </is>
      </c>
      <c r="B103" t="inlineStr">
        <is>
          <t>Explota explota</t>
        </is>
      </c>
      <c r="C103" t="inlineStr">
        <is>
          <t>Explota explota</t>
        </is>
      </c>
      <c r="D103" s="4" t="n">
        <v>2020</v>
      </c>
      <c r="E103" s="4">
        <f>IF(D103="","",FLOOR(D103,10))</f>
        <v/>
      </c>
      <c r="F103" s="22" t="n">
        <v>116</v>
      </c>
      <c r="G103" s="23" t="n">
        <v>5.2</v>
      </c>
      <c r="H103" t="inlineStr">
        <is>
          <t>Nacho Álvarez</t>
        </is>
      </c>
      <c r="I103" t="inlineStr">
        <is>
          <t>España</t>
        </is>
      </c>
      <c r="J103" t="inlineStr">
        <is>
          <t>Musical, Comedia, Romance</t>
        </is>
      </c>
      <c r="M103" s="6" t="n"/>
      <c r="O103" s="24" t="inlineStr"/>
      <c r="Q103" s="25" t="n"/>
      <c r="R103" s="25" t="n"/>
      <c r="S103" s="25" t="n"/>
      <c r="T103" s="25">
        <f>IF(AND(R103="",S103=""),"",N(R103)+N(S103))</f>
        <v/>
      </c>
      <c r="U103" s="25" t="n"/>
      <c r="V103" s="26" t="inlineStr">
        <is>
          <t>IMDb</t>
        </is>
      </c>
      <c r="W103" s="26" t="inlineStr">
        <is>
          <t>FilmAffinity</t>
        </is>
      </c>
      <c r="X103" s="26" t="inlineStr">
        <is>
          <t>Letterboxd</t>
        </is>
      </c>
    </row>
    <row r="104">
      <c r="A104" t="inlineStr">
        <is>
          <t>p0103</t>
        </is>
      </c>
      <c r="B104" t="inlineStr">
        <is>
          <t>Hasta el cielo</t>
        </is>
      </c>
      <c r="C104" t="inlineStr">
        <is>
          <t>Hasta el cielo</t>
        </is>
      </c>
      <c r="D104" s="4" t="n">
        <v>2020</v>
      </c>
      <c r="E104" s="4">
        <f>IF(D104="","",FLOOR(D104,10))</f>
        <v/>
      </c>
      <c r="F104" s="22" t="n">
        <v>121</v>
      </c>
      <c r="G104" s="23" t="n">
        <v>4.8</v>
      </c>
      <c r="H104" t="inlineStr">
        <is>
          <t>Daniel Calparsoro</t>
        </is>
      </c>
      <c r="I104" t="inlineStr">
        <is>
          <t>España</t>
        </is>
      </c>
      <c r="J104" t="inlineStr">
        <is>
          <t>Crimen, Acción</t>
        </is>
      </c>
      <c r="M104" s="6" t="n"/>
      <c r="O104" s="24" t="inlineStr"/>
      <c r="Q104" s="25" t="n"/>
      <c r="R104" s="25" t="n"/>
      <c r="S104" s="25" t="n"/>
      <c r="T104" s="25">
        <f>IF(AND(R104="",S104=""),"",N(R104)+N(S104))</f>
        <v/>
      </c>
      <c r="U104" s="25" t="n"/>
      <c r="V104" s="26" t="inlineStr">
        <is>
          <t>IMDb</t>
        </is>
      </c>
      <c r="W104" s="26" t="inlineStr">
        <is>
          <t>FilmAffinity</t>
        </is>
      </c>
      <c r="X104" s="26" t="inlineStr">
        <is>
          <t>Letterboxd</t>
        </is>
      </c>
    </row>
    <row r="105">
      <c r="A105" t="inlineStr">
        <is>
          <t>p0104</t>
        </is>
      </c>
      <c r="B105" t="inlineStr">
        <is>
          <t>Sonic, la película</t>
        </is>
      </c>
      <c r="C105" t="inlineStr">
        <is>
          <t>Sonic the Hedgehog</t>
        </is>
      </c>
      <c r="D105" s="4" t="n">
        <v>2020</v>
      </c>
      <c r="E105" s="4">
        <f>IF(D105="","",FLOOR(D105,10))</f>
        <v/>
      </c>
      <c r="F105" s="22" t="n">
        <v>99</v>
      </c>
      <c r="G105" s="23" t="n">
        <v>4.6</v>
      </c>
      <c r="H105" t="inlineStr">
        <is>
          <t>Jeff Fowler</t>
        </is>
      </c>
      <c r="I105" t="inlineStr">
        <is>
          <t>Estados Unidos</t>
        </is>
      </c>
      <c r="J105" t="inlineStr">
        <is>
          <t>Acción, Aventura, Comedia</t>
        </is>
      </c>
      <c r="M105" s="6" t="n"/>
      <c r="O105" s="24" t="inlineStr"/>
      <c r="Q105" s="25" t="n"/>
      <c r="R105" s="25" t="n"/>
      <c r="S105" s="25" t="n"/>
      <c r="T105" s="25">
        <f>IF(AND(R105="",S105=""),"",N(R105)+N(S105))</f>
        <v/>
      </c>
      <c r="U105" s="25" t="n"/>
      <c r="V105" s="26" t="inlineStr">
        <is>
          <t>IMDb</t>
        </is>
      </c>
      <c r="W105" s="26" t="inlineStr">
        <is>
          <t>FilmAffinity</t>
        </is>
      </c>
      <c r="X105" s="26" t="inlineStr">
        <is>
          <t>Letterboxd</t>
        </is>
      </c>
    </row>
    <row r="106">
      <c r="A106" t="inlineStr">
        <is>
          <t>p0105</t>
        </is>
      </c>
      <c r="B106" t="inlineStr">
        <is>
          <t>Amor. Boda. Azar</t>
        </is>
      </c>
      <c r="C106" t="inlineStr">
        <is>
          <t>Love Wedding Repeat</t>
        </is>
      </c>
      <c r="D106" s="4" t="n">
        <v>2020</v>
      </c>
      <c r="E106" s="4">
        <f>IF(D106="","",FLOOR(D106,10))</f>
        <v/>
      </c>
      <c r="F106" s="22" t="n">
        <v>100</v>
      </c>
      <c r="G106" s="23" t="n">
        <v>4.6</v>
      </c>
      <c r="H106" t="inlineStr">
        <is>
          <t>Dean Craig</t>
        </is>
      </c>
      <c r="I106" t="inlineStr">
        <is>
          <t>Estados Unidos</t>
        </is>
      </c>
      <c r="J106" t="inlineStr">
        <is>
          <t>Comedia, Romance</t>
        </is>
      </c>
      <c r="M106" s="6" t="n"/>
      <c r="O106" s="24" t="inlineStr"/>
      <c r="Q106" s="25" t="n"/>
      <c r="R106" s="25" t="n"/>
      <c r="S106" s="25" t="n"/>
      <c r="T106" s="25">
        <f>IF(AND(R106="",S106=""),"",N(R106)+N(S106))</f>
        <v/>
      </c>
      <c r="U106" s="25" t="n"/>
      <c r="V106" s="26" t="inlineStr">
        <is>
          <t>IMDb</t>
        </is>
      </c>
      <c r="X106" s="26" t="inlineStr">
        <is>
          <t>Letterboxd</t>
        </is>
      </c>
    </row>
    <row r="107">
      <c r="A107" t="inlineStr">
        <is>
          <t>p0106</t>
        </is>
      </c>
      <c r="B107" t="inlineStr">
        <is>
          <t>Adú</t>
        </is>
      </c>
      <c r="C107" t="inlineStr">
        <is>
          <t>Adú</t>
        </is>
      </c>
      <c r="D107" s="4" t="n">
        <v>2020</v>
      </c>
      <c r="E107" s="4">
        <f>IF(D107="","",FLOOR(D107,10))</f>
        <v/>
      </c>
      <c r="F107" s="22" t="n">
        <v>119</v>
      </c>
      <c r="G107" s="23" t="n">
        <v>4.5</v>
      </c>
      <c r="H107" t="inlineStr">
        <is>
          <t>Salvador Calvo</t>
        </is>
      </c>
      <c r="I107" t="inlineStr">
        <is>
          <t>España</t>
        </is>
      </c>
      <c r="J107" t="inlineStr">
        <is>
          <t>Drama</t>
        </is>
      </c>
      <c r="M107" s="6" t="n"/>
      <c r="O107" s="24" t="inlineStr"/>
      <c r="Q107" s="25" t="n"/>
      <c r="R107" s="25" t="n"/>
      <c r="S107" s="25" t="n"/>
      <c r="T107" s="25">
        <f>IF(AND(R107="",S107=""),"",N(R107)+N(S107))</f>
        <v/>
      </c>
      <c r="U107" s="25" t="n"/>
      <c r="V107" s="26" t="inlineStr">
        <is>
          <t>IMDb</t>
        </is>
      </c>
      <c r="W107" s="26" t="inlineStr">
        <is>
          <t>FilmAffinity</t>
        </is>
      </c>
      <c r="X107" s="26" t="inlineStr">
        <is>
          <t>Letterboxd</t>
        </is>
      </c>
    </row>
    <row r="108">
      <c r="A108" t="inlineStr">
        <is>
          <t>p0107</t>
        </is>
      </c>
      <c r="B108" t="inlineStr">
        <is>
          <t>Mamá Te Quiere</t>
        </is>
      </c>
      <c r="C108" t="inlineStr">
        <is>
          <t>Run</t>
        </is>
      </c>
      <c r="D108" s="4" t="n">
        <v>2020</v>
      </c>
      <c r="E108" s="4">
        <f>IF(D108="","",FLOOR(D108,10))</f>
        <v/>
      </c>
      <c r="F108" s="22" t="n">
        <v>89</v>
      </c>
      <c r="G108" s="23" t="n">
        <v>4.5</v>
      </c>
      <c r="H108" t="inlineStr">
        <is>
          <t>Aneesh Chaganty</t>
        </is>
      </c>
      <c r="I108" t="inlineStr">
        <is>
          <t>Estados Unidos</t>
        </is>
      </c>
      <c r="J108" t="inlineStr">
        <is>
          <t>Thriller</t>
        </is>
      </c>
      <c r="M108" s="6" t="n"/>
      <c r="O108" s="24" t="inlineStr"/>
      <c r="Q108" s="25" t="n"/>
      <c r="R108" s="25" t="n"/>
      <c r="S108" s="25" t="n"/>
      <c r="T108" s="25">
        <f>IF(AND(R108="",S108=""),"",N(R108)+N(S108))</f>
        <v/>
      </c>
      <c r="U108" s="25" t="n"/>
      <c r="V108" s="26" t="inlineStr">
        <is>
          <t>IMDb</t>
        </is>
      </c>
      <c r="W108" s="26" t="inlineStr">
        <is>
          <t>FilmAffinity</t>
        </is>
      </c>
      <c r="X108" s="26" t="inlineStr">
        <is>
          <t>Letterboxd</t>
        </is>
      </c>
    </row>
    <row r="109">
      <c r="A109" t="inlineStr">
        <is>
          <t>p0108</t>
        </is>
      </c>
      <c r="B109" t="inlineStr">
        <is>
          <t>La boda de Rosa</t>
        </is>
      </c>
      <c r="C109" t="inlineStr">
        <is>
          <t>La boda de Rosa</t>
        </is>
      </c>
      <c r="D109" s="4" t="n">
        <v>2020</v>
      </c>
      <c r="E109" s="4">
        <f>IF(D109="","",FLOOR(D109,10))</f>
        <v/>
      </c>
      <c r="F109" s="22" t="n">
        <v>100</v>
      </c>
      <c r="G109" s="23" t="n">
        <v>3.9</v>
      </c>
      <c r="H109" t="inlineStr">
        <is>
          <t>Icíar Bollaín</t>
        </is>
      </c>
      <c r="I109" t="inlineStr">
        <is>
          <t>España</t>
        </is>
      </c>
      <c r="J109" t="inlineStr">
        <is>
          <t>Comedia, Drama</t>
        </is>
      </c>
      <c r="M109" s="6" t="n"/>
      <c r="O109" s="24" t="inlineStr"/>
      <c r="Q109" s="25" t="n"/>
      <c r="R109" s="25" t="n"/>
      <c r="S109" s="25" t="n"/>
      <c r="T109" s="25">
        <f>IF(AND(R109="",S109=""),"",N(R109)+N(S109))</f>
        <v/>
      </c>
      <c r="U109" s="25" t="n"/>
      <c r="V109" s="26" t="inlineStr">
        <is>
          <t>IMDb</t>
        </is>
      </c>
      <c r="W109" s="26" t="inlineStr">
        <is>
          <t>FilmAffinity</t>
        </is>
      </c>
      <c r="X109" s="26" t="inlineStr">
        <is>
          <t>Letterboxd</t>
        </is>
      </c>
    </row>
    <row r="110">
      <c r="A110" t="inlineStr">
        <is>
          <t>p0109</t>
        </is>
      </c>
      <c r="B110" t="inlineStr">
        <is>
          <t>Malasaña 32</t>
        </is>
      </c>
      <c r="C110" t="inlineStr">
        <is>
          <t>Malasaña 32</t>
        </is>
      </c>
      <c r="D110" s="4" t="n">
        <v>2020</v>
      </c>
      <c r="E110" s="4">
        <f>IF(D110="","",FLOOR(D110,10))</f>
        <v/>
      </c>
      <c r="F110" s="22" t="n">
        <v>105</v>
      </c>
      <c r="G110" s="23" t="n">
        <v>3.7</v>
      </c>
      <c r="H110" t="inlineStr">
        <is>
          <t>Albert Pintó</t>
        </is>
      </c>
      <c r="I110" t="inlineStr">
        <is>
          <t>España</t>
        </is>
      </c>
      <c r="J110" t="inlineStr">
        <is>
          <t>Terror</t>
        </is>
      </c>
      <c r="M110" s="6" t="n"/>
      <c r="O110" s="24" t="inlineStr"/>
      <c r="Q110" s="25" t="n"/>
      <c r="R110" s="25" t="n"/>
      <c r="S110" s="25" t="n"/>
      <c r="T110" s="25">
        <f>IF(AND(R110="",S110=""),"",N(R110)+N(S110))</f>
        <v/>
      </c>
      <c r="U110" s="25" t="n"/>
      <c r="V110" s="26" t="inlineStr">
        <is>
          <t>IMDb</t>
        </is>
      </c>
      <c r="W110" s="26" t="inlineStr">
        <is>
          <t>FilmAffinity</t>
        </is>
      </c>
      <c r="X110" s="26" t="inlineStr">
        <is>
          <t>Letterboxd</t>
        </is>
      </c>
    </row>
    <row r="111">
      <c r="A111" t="inlineStr">
        <is>
          <t>p0110</t>
        </is>
      </c>
      <c r="B111" t="inlineStr">
        <is>
          <t>Da 5 Bloods: Hermanos de Armas</t>
        </is>
      </c>
      <c r="C111" t="inlineStr">
        <is>
          <t>Da 5 Bloods</t>
        </is>
      </c>
      <c r="D111" s="4" t="n">
        <v>2020</v>
      </c>
      <c r="E111" s="4">
        <f>IF(D111="","",FLOOR(D111,10))</f>
        <v/>
      </c>
      <c r="F111" s="22" t="n">
        <v>154</v>
      </c>
      <c r="G111" s="23" t="n">
        <v>3.6</v>
      </c>
      <c r="H111" t="inlineStr">
        <is>
          <t>Spike Lee</t>
        </is>
      </c>
      <c r="I111" t="inlineStr">
        <is>
          <t>Estados Unidos</t>
        </is>
      </c>
      <c r="J111" t="inlineStr">
        <is>
          <t>Bélico, Drama, Aventura</t>
        </is>
      </c>
      <c r="M111" s="6" t="n"/>
      <c r="O111" s="24" t="inlineStr"/>
      <c r="Q111" s="25" t="n"/>
      <c r="R111" s="25" t="n"/>
      <c r="S111" s="25" t="n"/>
      <c r="T111" s="25">
        <f>IF(AND(R111="",S111=""),"",N(R111)+N(S111))</f>
        <v/>
      </c>
      <c r="U111" s="25" t="n"/>
      <c r="V111" s="26" t="inlineStr">
        <is>
          <t>IMDb</t>
        </is>
      </c>
      <c r="W111" s="26" t="inlineStr">
        <is>
          <t>FilmAffinity</t>
        </is>
      </c>
      <c r="X111" s="26" t="inlineStr">
        <is>
          <t>Letterboxd</t>
        </is>
      </c>
    </row>
    <row r="112">
      <c r="A112" t="inlineStr">
        <is>
          <t>p0111</t>
        </is>
      </c>
      <c r="B112" t="inlineStr">
        <is>
          <t>Estoy Pensando en Dejarlo</t>
        </is>
      </c>
      <c r="C112" t="inlineStr">
        <is>
          <t>I'm Thinking of Ending Things</t>
        </is>
      </c>
      <c r="D112" s="4" t="n">
        <v>2020</v>
      </c>
      <c r="E112" s="4">
        <f>IF(D112="","",FLOOR(D112,10))</f>
        <v/>
      </c>
      <c r="F112" s="22" t="n">
        <v>134</v>
      </c>
      <c r="G112" s="23" t="n">
        <v>3.5</v>
      </c>
      <c r="H112" t="inlineStr">
        <is>
          <t>Charlie Kaufman</t>
        </is>
      </c>
      <c r="I112" t="inlineStr">
        <is>
          <t>Estados Unidos</t>
        </is>
      </c>
      <c r="J112" t="inlineStr">
        <is>
          <t>Drama, Thriller</t>
        </is>
      </c>
      <c r="M112" s="6" t="n"/>
      <c r="O112" s="24" t="inlineStr"/>
      <c r="Q112" s="25" t="n"/>
      <c r="R112" s="25" t="n"/>
      <c r="S112" s="25" t="n"/>
      <c r="T112" s="25">
        <f>IF(AND(R112="",S112=""),"",N(R112)+N(S112))</f>
        <v/>
      </c>
      <c r="U112" s="25" t="n"/>
      <c r="V112" s="26" t="inlineStr">
        <is>
          <t>IMDb</t>
        </is>
      </c>
      <c r="W112" s="26" t="inlineStr">
        <is>
          <t>FilmAffinity</t>
        </is>
      </c>
      <c r="X112" s="26" t="inlineStr">
        <is>
          <t>Letterboxd</t>
        </is>
      </c>
    </row>
    <row r="113">
      <c r="A113" t="inlineStr">
        <is>
          <t>p0112</t>
        </is>
      </c>
      <c r="B113" t="inlineStr">
        <is>
          <t>Los Nuevos Mutantes</t>
        </is>
      </c>
      <c r="C113" t="inlineStr">
        <is>
          <t>The New Mutants</t>
        </is>
      </c>
      <c r="D113" s="4" t="n">
        <v>2020</v>
      </c>
      <c r="E113" s="4">
        <f>IF(D113="","",FLOOR(D113,10))</f>
        <v/>
      </c>
      <c r="F113" s="22" t="n">
        <v>94</v>
      </c>
      <c r="G113" s="23" t="n">
        <v>3.5</v>
      </c>
      <c r="H113" t="inlineStr">
        <is>
          <t>Josh Boone</t>
        </is>
      </c>
      <c r="I113" t="inlineStr">
        <is>
          <t>Estados Unidos</t>
        </is>
      </c>
      <c r="J113" t="inlineStr">
        <is>
          <t>Superhéroes, Terror</t>
        </is>
      </c>
      <c r="M113" s="6" t="n"/>
      <c r="O113" s="24" t="inlineStr"/>
      <c r="Q113" s="25" t="n"/>
      <c r="R113" s="25" t="n"/>
      <c r="S113" s="25" t="n"/>
      <c r="T113" s="25">
        <f>IF(AND(R113="",S113=""),"",N(R113)+N(S113))</f>
        <v/>
      </c>
      <c r="U113" s="25" t="n"/>
      <c r="V113" s="26" t="inlineStr">
        <is>
          <t>IMDb</t>
        </is>
      </c>
      <c r="W113" s="26" t="inlineStr">
        <is>
          <t>FilmAffinity</t>
        </is>
      </c>
      <c r="X113" s="26" t="inlineStr">
        <is>
          <t>Letterboxd</t>
        </is>
      </c>
    </row>
    <row r="114">
      <c r="A114" t="inlineStr">
        <is>
          <t>p0113</t>
        </is>
      </c>
      <c r="B114" t="inlineStr">
        <is>
          <t>365 Días</t>
        </is>
      </c>
      <c r="C114" t="inlineStr">
        <is>
          <t>365 dni</t>
        </is>
      </c>
      <c r="D114" s="4" t="n">
        <v>2020</v>
      </c>
      <c r="E114" s="4">
        <f>IF(D114="","",FLOOR(D114,10))</f>
        <v/>
      </c>
      <c r="F114" s="22" t="n">
        <v>116</v>
      </c>
      <c r="G114" s="23" t="n">
        <v>0</v>
      </c>
      <c r="H114" t="inlineStr">
        <is>
          <t>Barbara Balowas / Tomasz Mandes</t>
        </is>
      </c>
      <c r="I114" t="inlineStr">
        <is>
          <t>Polonia</t>
        </is>
      </c>
      <c r="J114" t="inlineStr">
        <is>
          <t>Romance, Drama</t>
        </is>
      </c>
      <c r="M114" s="6" t="n"/>
      <c r="O114" s="24" t="inlineStr"/>
      <c r="Q114" s="25" t="n"/>
      <c r="R114" s="25" t="n"/>
      <c r="S114" s="25" t="n"/>
      <c r="T114" s="25">
        <f>IF(AND(R114="",S114=""),"",N(R114)+N(S114))</f>
        <v/>
      </c>
      <c r="U114" s="25" t="n"/>
      <c r="V114" s="26" t="inlineStr">
        <is>
          <t>IMDb</t>
        </is>
      </c>
      <c r="W114" s="26" t="inlineStr">
        <is>
          <t>FilmAffinity</t>
        </is>
      </c>
      <c r="X114" s="26" t="inlineStr">
        <is>
          <t>Letterboxd</t>
        </is>
      </c>
    </row>
    <row r="115">
      <c r="A115" t="inlineStr">
        <is>
          <t>p0114</t>
        </is>
      </c>
      <c r="B115" t="inlineStr">
        <is>
          <t>Los Últimos Días del Crimen</t>
        </is>
      </c>
      <c r="C115" t="inlineStr">
        <is>
          <t>The Last Days of American Crime</t>
        </is>
      </c>
      <c r="D115" s="4" t="n">
        <v>2020</v>
      </c>
      <c r="E115" s="4">
        <f>IF(D115="","",FLOOR(D115,10))</f>
        <v/>
      </c>
      <c r="F115" s="22" t="n">
        <v>148</v>
      </c>
      <c r="G115" s="23" t="n">
        <v>0</v>
      </c>
      <c r="H115" t="inlineStr">
        <is>
          <t>Olivier Megaton</t>
        </is>
      </c>
      <c r="I115" t="inlineStr">
        <is>
          <t>Estados Unidos</t>
        </is>
      </c>
      <c r="J115" t="inlineStr">
        <is>
          <t>Acción, Crimen</t>
        </is>
      </c>
      <c r="M115" s="6" t="n"/>
      <c r="O115" s="24" t="inlineStr"/>
      <c r="Q115" s="25" t="n"/>
      <c r="R115" s="25" t="n"/>
      <c r="S115" s="25" t="n"/>
      <c r="T115" s="25">
        <f>IF(AND(R115="",S115=""),"",N(R115)+N(S115))</f>
        <v/>
      </c>
      <c r="U115" s="25" t="n"/>
      <c r="V115" s="26" t="inlineStr">
        <is>
          <t>IMDb</t>
        </is>
      </c>
      <c r="X115" s="26" t="inlineStr">
        <is>
          <t>Letterboxd</t>
        </is>
      </c>
    </row>
    <row r="116">
      <c r="A116" t="inlineStr">
        <is>
          <t>p0115</t>
        </is>
      </c>
      <c r="B116" t="inlineStr">
        <is>
          <t>Parásitos</t>
        </is>
      </c>
      <c r="C116" t="inlineStr">
        <is>
          <t>Parasite</t>
        </is>
      </c>
      <c r="D116" s="4" t="n">
        <v>2019</v>
      </c>
      <c r="E116" s="4">
        <f>IF(D116="","",FLOOR(D116,10))</f>
        <v/>
      </c>
      <c r="F116" s="22" t="n">
        <v>132</v>
      </c>
      <c r="G116" s="23" t="n">
        <v>8.800000000000001</v>
      </c>
      <c r="H116" t="inlineStr">
        <is>
          <t>Bong Joon-ho</t>
        </is>
      </c>
      <c r="I116" t="inlineStr">
        <is>
          <t>Corea del Sur</t>
        </is>
      </c>
      <c r="J116" t="inlineStr">
        <is>
          <t>Thriller, Drama, Comedia</t>
        </is>
      </c>
      <c r="M116" s="6" t="n"/>
      <c r="O116" s="24" t="inlineStr"/>
      <c r="Q116" s="25" t="n">
        <v>393216</v>
      </c>
      <c r="R116" s="25" t="n">
        <v>71447351</v>
      </c>
      <c r="S116" s="25" t="n">
        <v>209565145</v>
      </c>
      <c r="T116" s="25">
        <f>IF(AND(R116="",S116=""),"",N(R116)+N(S116))</f>
        <v/>
      </c>
      <c r="U116" s="25" t="n"/>
      <c r="V116" s="26" t="inlineStr">
        <is>
          <t>IMDb</t>
        </is>
      </c>
      <c r="W116" s="26" t="inlineStr">
        <is>
          <t>FilmAffinity</t>
        </is>
      </c>
      <c r="X116" s="26" t="inlineStr">
        <is>
          <t>Letterboxd</t>
        </is>
      </c>
    </row>
    <row r="117">
      <c r="A117" t="inlineStr">
        <is>
          <t>p0116</t>
        </is>
      </c>
      <c r="B117" t="inlineStr">
        <is>
          <t>Joker</t>
        </is>
      </c>
      <c r="C117" t="inlineStr">
        <is>
          <t>Joker</t>
        </is>
      </c>
      <c r="D117" s="4" t="n">
        <v>2019</v>
      </c>
      <c r="E117" s="4">
        <f>IF(D117="","",FLOOR(D117,10))</f>
        <v/>
      </c>
      <c r="F117" s="22" t="n">
        <v>121</v>
      </c>
      <c r="G117" s="23" t="n">
        <v>8.300000000000001</v>
      </c>
      <c r="H117" t="inlineStr">
        <is>
          <t>Todd Phillips</t>
        </is>
      </c>
      <c r="I117" t="inlineStr">
        <is>
          <t>Estados Unidos</t>
        </is>
      </c>
      <c r="J117" t="inlineStr">
        <is>
          <t>Drama, Crimen, Thriller</t>
        </is>
      </c>
      <c r="M117" s="6" t="n"/>
      <c r="O117" s="24" t="inlineStr"/>
      <c r="Q117" s="25" t="n">
        <v>96202337</v>
      </c>
      <c r="R117" s="25" t="n">
        <v>335477657</v>
      </c>
      <c r="S117" s="25" t="n">
        <v>743480625</v>
      </c>
      <c r="T117" s="25">
        <f>IF(AND(R117="",S117=""),"",N(R117)+N(S117))</f>
        <v/>
      </c>
      <c r="U117" s="25" t="n"/>
      <c r="V117" s="26" t="inlineStr">
        <is>
          <t>IMDb</t>
        </is>
      </c>
      <c r="W117" s="26" t="inlineStr">
        <is>
          <t>FilmAffinity</t>
        </is>
      </c>
      <c r="X117" s="26" t="inlineStr">
        <is>
          <t>Letterboxd</t>
        </is>
      </c>
    </row>
    <row r="118">
      <c r="A118" t="inlineStr">
        <is>
          <t>p0117</t>
        </is>
      </c>
      <c r="B118" t="inlineStr">
        <is>
          <t>Vengadores: Endgame</t>
        </is>
      </c>
      <c r="C118" t="inlineStr">
        <is>
          <t>Avengers: Endgame</t>
        </is>
      </c>
      <c r="D118" s="4" t="n">
        <v>2019</v>
      </c>
      <c r="E118" s="4">
        <f>IF(D118="","",FLOOR(D118,10))</f>
        <v/>
      </c>
      <c r="F118" s="22" t="n">
        <v>181</v>
      </c>
      <c r="G118" s="23" t="n">
        <v>8.1</v>
      </c>
      <c r="H118" t="inlineStr">
        <is>
          <t>Anthony Russo / Joe Russo</t>
        </is>
      </c>
      <c r="I118" t="inlineStr">
        <is>
          <t>Estados Unidos</t>
        </is>
      </c>
      <c r="J118" t="inlineStr">
        <is>
          <t>Superhéroes, Acción, Ciencia ficción</t>
        </is>
      </c>
      <c r="K118" t="inlineStr">
        <is>
          <t>UCM</t>
        </is>
      </c>
      <c r="L118" t="inlineStr">
        <is>
          <t>Fase 3 · Saga del Infinito</t>
        </is>
      </c>
      <c r="M118" s="6" t="n"/>
      <c r="O118" s="24" t="inlineStr"/>
      <c r="Q118" s="25" t="n">
        <v>357115007</v>
      </c>
      <c r="R118" s="25" t="n">
        <v>858373000</v>
      </c>
      <c r="S118" s="25" t="n">
        <v>1941066100</v>
      </c>
      <c r="T118" s="25">
        <f>IF(AND(R118="",S118=""),"",N(R118)+N(S118))</f>
        <v/>
      </c>
      <c r="U118" s="25" t="n">
        <v>356000000</v>
      </c>
      <c r="V118" s="26" t="inlineStr">
        <is>
          <t>IMDb</t>
        </is>
      </c>
      <c r="W118" s="26" t="inlineStr">
        <is>
          <t>FilmAffinity</t>
        </is>
      </c>
      <c r="X118" s="26" t="inlineStr">
        <is>
          <t>Letterboxd</t>
        </is>
      </c>
    </row>
    <row r="119">
      <c r="A119" t="inlineStr">
        <is>
          <t>p0118</t>
        </is>
      </c>
      <c r="B119" t="inlineStr">
        <is>
          <t>Jojo Rabbit</t>
        </is>
      </c>
      <c r="C119" t="inlineStr">
        <is>
          <t>Jojo Rabbit</t>
        </is>
      </c>
      <c r="D119" s="4" t="n">
        <v>2019</v>
      </c>
      <c r="E119" s="4">
        <f>IF(D119="","",FLOOR(D119,10))</f>
        <v/>
      </c>
      <c r="F119" s="22" t="n">
        <v>108</v>
      </c>
      <c r="G119" s="23" t="n">
        <v>8</v>
      </c>
      <c r="H119" t="inlineStr">
        <is>
          <t>Taika Waititi</t>
        </is>
      </c>
      <c r="I119" t="inlineStr">
        <is>
          <t>Nueva Zelanda</t>
        </is>
      </c>
      <c r="J119" t="inlineStr">
        <is>
          <t>Comedia, Drama, Bélico</t>
        </is>
      </c>
      <c r="M119" s="6" t="n"/>
      <c r="O119" s="24" t="inlineStr"/>
      <c r="Q119" s="25" t="n">
        <v>349555</v>
      </c>
      <c r="R119" s="25" t="n">
        <v>33370906</v>
      </c>
      <c r="S119" s="25" t="n">
        <v>60158505</v>
      </c>
      <c r="T119" s="25">
        <f>IF(AND(R119="",S119=""),"",N(R119)+N(S119))</f>
        <v/>
      </c>
      <c r="U119" s="25" t="n"/>
      <c r="V119" s="26" t="inlineStr">
        <is>
          <t>IMDb</t>
        </is>
      </c>
      <c r="W119" s="26" t="inlineStr">
        <is>
          <t>FilmAffinity</t>
        </is>
      </c>
      <c r="X119" s="26" t="inlineStr">
        <is>
          <t>Letterboxd</t>
        </is>
      </c>
    </row>
    <row r="120">
      <c r="A120" t="inlineStr">
        <is>
          <t>p0119</t>
        </is>
      </c>
      <c r="B120" t="inlineStr">
        <is>
          <t>El tiempo contigo</t>
        </is>
      </c>
      <c r="C120" t="inlineStr">
        <is>
          <t>Weathering with You</t>
        </is>
      </c>
      <c r="D120" s="4" t="n">
        <v>2019</v>
      </c>
      <c r="E120" s="4">
        <f>IF(D120="","",FLOOR(D120,10))</f>
        <v/>
      </c>
      <c r="F120" s="22" t="n">
        <v>112</v>
      </c>
      <c r="G120" s="23" t="n">
        <v>7.9</v>
      </c>
      <c r="H120" t="inlineStr">
        <is>
          <t>Makoto Shinkai</t>
        </is>
      </c>
      <c r="I120" t="inlineStr">
        <is>
          <t>Japón</t>
        </is>
      </c>
      <c r="J120" t="inlineStr">
        <is>
          <t>Animación, Romance, Fantasía</t>
        </is>
      </c>
      <c r="M120" s="6" t="n"/>
      <c r="O120" s="24" t="inlineStr"/>
      <c r="Q120" s="25" t="n"/>
      <c r="R120" s="25" t="n"/>
      <c r="S120" s="25" t="n"/>
      <c r="T120" s="25">
        <f>IF(AND(R120="",S120=""),"",N(R120)+N(S120))</f>
        <v/>
      </c>
      <c r="U120" s="25" t="n"/>
      <c r="V120" s="26" t="inlineStr">
        <is>
          <t>IMDb</t>
        </is>
      </c>
      <c r="W120" s="26" t="inlineStr">
        <is>
          <t>FilmAffinity</t>
        </is>
      </c>
      <c r="X120" s="26" t="inlineStr">
        <is>
          <t>Letterboxd</t>
        </is>
      </c>
    </row>
    <row r="121">
      <c r="A121" t="inlineStr">
        <is>
          <t>p0120</t>
        </is>
      </c>
      <c r="B121" t="inlineStr">
        <is>
          <t>Klaus</t>
        </is>
      </c>
      <c r="C121" t="inlineStr">
        <is>
          <t>Klaus</t>
        </is>
      </c>
      <c r="D121" s="4" t="n">
        <v>2019</v>
      </c>
      <c r="E121" s="4">
        <f>IF(D121="","",FLOOR(D121,10))</f>
        <v/>
      </c>
      <c r="F121" s="22" t="n">
        <v>97</v>
      </c>
      <c r="G121" s="23" t="n">
        <v>7.9</v>
      </c>
      <c r="H121" t="inlineStr">
        <is>
          <t>Sergio Pablos</t>
        </is>
      </c>
      <c r="I121" t="inlineStr">
        <is>
          <t>España</t>
        </is>
      </c>
      <c r="J121" t="inlineStr">
        <is>
          <t>Animación, Familiar, Comedia</t>
        </is>
      </c>
      <c r="M121" s="6" t="n"/>
      <c r="O121" s="24" t="inlineStr"/>
      <c r="Q121" s="25" t="n"/>
      <c r="R121" s="25" t="n"/>
      <c r="S121" s="25" t="n"/>
      <c r="T121" s="25">
        <f>IF(AND(R121="",S121=""),"",N(R121)+N(S121))</f>
        <v/>
      </c>
      <c r="U121" s="25" t="n"/>
      <c r="V121" s="26" t="inlineStr">
        <is>
          <t>IMDb</t>
        </is>
      </c>
      <c r="W121" s="26" t="inlineStr">
        <is>
          <t>FilmAffinity</t>
        </is>
      </c>
      <c r="X121" s="26" t="inlineStr">
        <is>
          <t>Letterboxd</t>
        </is>
      </c>
    </row>
    <row r="122">
      <c r="A122" t="inlineStr">
        <is>
          <t>p0121</t>
        </is>
      </c>
      <c r="B122" t="inlineStr">
        <is>
          <t>Puñales por la Espalda</t>
        </is>
      </c>
      <c r="C122" t="inlineStr">
        <is>
          <t>Knives Out</t>
        </is>
      </c>
      <c r="D122" s="4" t="n">
        <v>2019</v>
      </c>
      <c r="E122" s="4">
        <f>IF(D122="","",FLOOR(D122,10))</f>
        <v/>
      </c>
      <c r="F122" s="22" t="n">
        <v>130</v>
      </c>
      <c r="G122" s="23" t="n">
        <v>7.9</v>
      </c>
      <c r="H122" t="inlineStr">
        <is>
          <t>Rian Johnson</t>
        </is>
      </c>
      <c r="I122" t="inlineStr">
        <is>
          <t>Estados Unidos</t>
        </is>
      </c>
      <c r="J122" t="inlineStr">
        <is>
          <t>Misterio, Comedia, Crimen</t>
        </is>
      </c>
      <c r="K122" t="inlineStr">
        <is>
          <t>Puñales por la espalda</t>
        </is>
      </c>
      <c r="M122" s="6" t="n"/>
      <c r="O122" s="24" t="inlineStr"/>
      <c r="Q122" s="25" t="n">
        <v>26769548</v>
      </c>
      <c r="R122" s="25" t="n">
        <v>165363234</v>
      </c>
      <c r="S122" s="25" t="n">
        <v>147534686</v>
      </c>
      <c r="T122" s="25">
        <f>IF(AND(R122="",S122=""),"",N(R122)+N(S122))</f>
        <v/>
      </c>
      <c r="U122" s="25" t="n"/>
      <c r="V122" s="26" t="inlineStr">
        <is>
          <t>IMDb</t>
        </is>
      </c>
      <c r="W122" s="26" t="inlineStr">
        <is>
          <t>FilmAffinity</t>
        </is>
      </c>
      <c r="X122" s="26" t="inlineStr">
        <is>
          <t>Letterboxd</t>
        </is>
      </c>
    </row>
    <row r="123">
      <c r="A123" t="inlineStr">
        <is>
          <t>p0122</t>
        </is>
      </c>
      <c r="B123" t="inlineStr">
        <is>
          <t>Toy Story 4</t>
        </is>
      </c>
      <c r="C123" t="inlineStr">
        <is>
          <t>Toy Story 4</t>
        </is>
      </c>
      <c r="D123" s="4" t="n">
        <v>2019</v>
      </c>
      <c r="E123" s="4">
        <f>IF(D123="","",FLOOR(D123,10))</f>
        <v/>
      </c>
      <c r="F123" s="22" t="n">
        <v>100</v>
      </c>
      <c r="G123" s="23" t="n">
        <v>7.8</v>
      </c>
      <c r="H123" t="inlineStr">
        <is>
          <t>Josh Cooley</t>
        </is>
      </c>
      <c r="I123" t="inlineStr">
        <is>
          <t>Estados Unidos</t>
        </is>
      </c>
      <c r="J123" t="inlineStr">
        <is>
          <t>Animación, Comedia, Familiar</t>
        </is>
      </c>
      <c r="K123" t="inlineStr">
        <is>
          <t>Toy Story</t>
        </is>
      </c>
      <c r="M123" s="6" t="n"/>
      <c r="O123" s="24" t="inlineStr"/>
      <c r="Q123" s="25" t="n"/>
      <c r="R123" s="25" t="n"/>
      <c r="S123" s="25" t="n"/>
      <c r="T123" s="25">
        <f>IF(AND(R123="",S123=""),"",N(R123)+N(S123))</f>
        <v/>
      </c>
      <c r="U123" s="25" t="n"/>
      <c r="V123" s="26" t="inlineStr">
        <is>
          <t>IMDb</t>
        </is>
      </c>
      <c r="W123" s="26" t="inlineStr">
        <is>
          <t>FilmAffinity</t>
        </is>
      </c>
      <c r="X123" s="26" t="inlineStr">
        <is>
          <t>Letterboxd</t>
        </is>
      </c>
    </row>
    <row r="124">
      <c r="A124" t="inlineStr">
        <is>
          <t>p0123</t>
        </is>
      </c>
      <c r="B124" t="inlineStr">
        <is>
          <t>Midsommar</t>
        </is>
      </c>
      <c r="C124" t="inlineStr">
        <is>
          <t>Midsommar</t>
        </is>
      </c>
      <c r="D124" s="4" t="n">
        <v>2019</v>
      </c>
      <c r="E124" s="4">
        <f>IF(D124="","",FLOOR(D124,10))</f>
        <v/>
      </c>
      <c r="F124" s="22" t="n">
        <v>145</v>
      </c>
      <c r="G124" s="23" t="n">
        <v>7.7</v>
      </c>
      <c r="H124" t="inlineStr">
        <is>
          <t>Ari Aster</t>
        </is>
      </c>
      <c r="I124" t="inlineStr">
        <is>
          <t>Estados Unidos</t>
        </is>
      </c>
      <c r="J124" t="inlineStr">
        <is>
          <t>Terror, Drama</t>
        </is>
      </c>
      <c r="M124" s="6" t="n"/>
      <c r="O124" s="24" t="inlineStr"/>
      <c r="Q124" s="25" t="n">
        <v>6560030</v>
      </c>
      <c r="R124" s="25" t="n">
        <v>27426361</v>
      </c>
      <c r="S124" s="25" t="n">
        <v>21156132</v>
      </c>
      <c r="T124" s="25">
        <f>IF(AND(R124="",S124=""),"",N(R124)+N(S124))</f>
        <v/>
      </c>
      <c r="U124" s="25" t="n"/>
      <c r="V124" s="26" t="inlineStr">
        <is>
          <t>IMDb</t>
        </is>
      </c>
      <c r="W124" s="26" t="inlineStr">
        <is>
          <t>FilmAffinity</t>
        </is>
      </c>
      <c r="X124" s="26" t="inlineStr">
        <is>
          <t>Letterboxd</t>
        </is>
      </c>
    </row>
    <row r="125">
      <c r="A125" t="inlineStr">
        <is>
          <t>p0124</t>
        </is>
      </c>
      <c r="B125" t="inlineStr">
        <is>
          <t>Dolor y gloria</t>
        </is>
      </c>
      <c r="C125" t="inlineStr">
        <is>
          <t>Dolor y gloria</t>
        </is>
      </c>
      <c r="D125" s="4" t="n">
        <v>2019</v>
      </c>
      <c r="E125" s="4">
        <f>IF(D125="","",FLOOR(D125,10))</f>
        <v/>
      </c>
      <c r="F125" s="22" t="n">
        <v>108</v>
      </c>
      <c r="G125" s="23" t="n">
        <v>7.7</v>
      </c>
      <c r="H125" t="inlineStr">
        <is>
          <t>Pedro Almodóvar</t>
        </is>
      </c>
      <c r="I125" t="inlineStr">
        <is>
          <t>España</t>
        </is>
      </c>
      <c r="J125" t="inlineStr">
        <is>
          <t>Drama</t>
        </is>
      </c>
      <c r="M125" s="6" t="n"/>
      <c r="O125" s="24" t="inlineStr"/>
      <c r="Q125" s="25" t="n">
        <v>1396648</v>
      </c>
      <c r="R125" s="25" t="n">
        <v>6665749</v>
      </c>
      <c r="S125" s="25" t="n">
        <v>32792351</v>
      </c>
      <c r="T125" s="25">
        <f>IF(AND(R125="",S125=""),"",N(R125)+N(S125))</f>
        <v/>
      </c>
      <c r="U125" s="25" t="n"/>
      <c r="V125" s="26" t="inlineStr">
        <is>
          <t>IMDb</t>
        </is>
      </c>
      <c r="W125" s="26" t="inlineStr">
        <is>
          <t>FilmAffinity</t>
        </is>
      </c>
      <c r="X125" s="26" t="inlineStr">
        <is>
          <t>Letterboxd</t>
        </is>
      </c>
    </row>
    <row r="126">
      <c r="A126" t="inlineStr">
        <is>
          <t>p0125</t>
        </is>
      </c>
      <c r="B126" t="inlineStr">
        <is>
          <t>1917</t>
        </is>
      </c>
      <c r="C126" t="inlineStr">
        <is>
          <t>1917</t>
        </is>
      </c>
      <c r="D126" s="4" t="n">
        <v>2019</v>
      </c>
      <c r="E126" s="4">
        <f>IF(D126="","",FLOOR(D126,10))</f>
        <v/>
      </c>
      <c r="F126" s="22" t="n">
        <v>119</v>
      </c>
      <c r="G126" s="23" t="n">
        <v>7.7</v>
      </c>
      <c r="H126" t="inlineStr">
        <is>
          <t>Sam Mendes</t>
        </is>
      </c>
      <c r="I126" t="inlineStr">
        <is>
          <t>Reino Unido</t>
        </is>
      </c>
      <c r="J126" t="inlineStr">
        <is>
          <t>Bélico, Drama</t>
        </is>
      </c>
      <c r="M126" s="6" t="n"/>
      <c r="O126" s="24" t="inlineStr"/>
      <c r="Q126" s="25" t="n">
        <v>576216</v>
      </c>
      <c r="R126" s="25" t="n">
        <v>159227644</v>
      </c>
      <c r="S126" s="25" t="n">
        <v>286836708</v>
      </c>
      <c r="T126" s="25">
        <f>IF(AND(R126="",S126=""),"",N(R126)+N(S126))</f>
        <v/>
      </c>
      <c r="U126" s="25" t="n"/>
      <c r="V126" s="26" t="inlineStr">
        <is>
          <t>IMDb</t>
        </is>
      </c>
      <c r="W126" s="26" t="inlineStr">
        <is>
          <t>FilmAffinity</t>
        </is>
      </c>
      <c r="X126" s="26" t="inlineStr">
        <is>
          <t>Letterboxd</t>
        </is>
      </c>
    </row>
    <row r="127">
      <c r="A127" t="inlineStr">
        <is>
          <t>p0126</t>
        </is>
      </c>
      <c r="B127" t="inlineStr">
        <is>
          <t>La odisea de los giles</t>
        </is>
      </c>
      <c r="C127" t="inlineStr">
        <is>
          <t>La odisea de los giles</t>
        </is>
      </c>
      <c r="D127" s="4" t="n">
        <v>2019</v>
      </c>
      <c r="E127" s="4">
        <f>IF(D127="","",FLOOR(D127,10))</f>
        <v/>
      </c>
      <c r="F127" s="22" t="n">
        <v>116</v>
      </c>
      <c r="G127" s="23" t="n">
        <v>7.7</v>
      </c>
      <c r="H127" t="inlineStr">
        <is>
          <t>Sebastián Borensztein</t>
        </is>
      </c>
      <c r="I127" t="inlineStr">
        <is>
          <t>Argentina</t>
        </is>
      </c>
      <c r="J127" t="inlineStr">
        <is>
          <t>Comedia, Crimen</t>
        </is>
      </c>
      <c r="M127" s="6" t="n"/>
      <c r="O127" s="24" t="inlineStr"/>
      <c r="Q127" s="25" t="n"/>
      <c r="R127" s="25" t="n"/>
      <c r="S127" s="25" t="n"/>
      <c r="T127" s="25">
        <f>IF(AND(R127="",S127=""),"",N(R127)+N(S127))</f>
        <v/>
      </c>
      <c r="U127" s="25" t="n"/>
      <c r="V127" s="26" t="inlineStr">
        <is>
          <t>IMDb</t>
        </is>
      </c>
      <c r="W127" s="26" t="inlineStr">
        <is>
          <t>FilmAffinity</t>
        </is>
      </c>
      <c r="X127" s="26" t="inlineStr">
        <is>
          <t>Letterboxd</t>
        </is>
      </c>
    </row>
    <row r="128">
      <c r="A128" t="inlineStr">
        <is>
          <t>p0127</t>
        </is>
      </c>
      <c r="B128" t="inlineStr">
        <is>
          <t>La trinchera infinita</t>
        </is>
      </c>
      <c r="C128" t="inlineStr">
        <is>
          <t>La trinchera infinita</t>
        </is>
      </c>
      <c r="D128" s="4" t="n">
        <v>2019</v>
      </c>
      <c r="E128" s="4">
        <f>IF(D128="","",FLOOR(D128,10))</f>
        <v/>
      </c>
      <c r="F128" s="22" t="n">
        <v>147</v>
      </c>
      <c r="G128" s="23" t="n">
        <v>7.4</v>
      </c>
      <c r="H128" t="inlineStr">
        <is>
          <t>Jon Garaño / Aitor Arregi / José Mari Goenaga</t>
        </is>
      </c>
      <c r="I128" t="inlineStr">
        <is>
          <t>España</t>
        </is>
      </c>
      <c r="J128" t="inlineStr">
        <is>
          <t>Drama, Histórico</t>
        </is>
      </c>
      <c r="M128" s="6" t="n"/>
      <c r="O128" s="24" t="inlineStr"/>
      <c r="Q128" s="25" t="n">
        <v>395536</v>
      </c>
      <c r="R128" s="25" t="n">
        <v>1327845</v>
      </c>
      <c r="S128" s="25" t="n"/>
      <c r="T128" s="25">
        <f>IF(AND(R128="",S128=""),"",N(R128)+N(S128))</f>
        <v/>
      </c>
      <c r="U128" s="25" t="n"/>
      <c r="V128" s="26" t="inlineStr">
        <is>
          <t>IMDb</t>
        </is>
      </c>
      <c r="W128" s="26" t="inlineStr">
        <is>
          <t>FilmAffinity</t>
        </is>
      </c>
      <c r="X128" s="26" t="inlineStr">
        <is>
          <t>Letterboxd</t>
        </is>
      </c>
    </row>
    <row r="129">
      <c r="A129" t="inlineStr">
        <is>
          <t>p0128</t>
        </is>
      </c>
      <c r="B129" t="inlineStr">
        <is>
          <t>Quien a hierro mata</t>
        </is>
      </c>
      <c r="C129" t="inlineStr">
        <is>
          <t>Quien a hierro mata</t>
        </is>
      </c>
      <c r="D129" s="4" t="n">
        <v>2019</v>
      </c>
      <c r="E129" s="4">
        <f>IF(D129="","",FLOOR(D129,10))</f>
        <v/>
      </c>
      <c r="F129" s="22" t="n">
        <v>107</v>
      </c>
      <c r="G129" s="23" t="n">
        <v>7.2</v>
      </c>
      <c r="H129" t="inlineStr">
        <is>
          <t>Paco Plaza</t>
        </is>
      </c>
      <c r="I129" t="inlineStr">
        <is>
          <t>España</t>
        </is>
      </c>
      <c r="J129" t="inlineStr">
        <is>
          <t>Thriller, Crimen</t>
        </is>
      </c>
      <c r="M129" s="6" t="n"/>
      <c r="O129" s="24" t="inlineStr"/>
      <c r="Q129" s="25" t="n">
        <v>649143</v>
      </c>
      <c r="R129" s="25" t="n">
        <v>2750926</v>
      </c>
      <c r="S129" s="25" t="n"/>
      <c r="T129" s="25">
        <f>IF(AND(R129="",S129=""),"",N(R129)+N(S129))</f>
        <v/>
      </c>
      <c r="U129" s="25" t="n"/>
      <c r="V129" s="26" t="inlineStr">
        <is>
          <t>IMDb</t>
        </is>
      </c>
      <c r="W129" s="26" t="inlineStr">
        <is>
          <t>FilmAffinity</t>
        </is>
      </c>
      <c r="X129" s="26" t="inlineStr">
        <is>
          <t>Letterboxd</t>
        </is>
      </c>
    </row>
    <row r="130">
      <c r="A130" t="inlineStr">
        <is>
          <t>p0129</t>
        </is>
      </c>
      <c r="B130" t="inlineStr">
        <is>
          <t>Érase una Vez En...Hollywood</t>
        </is>
      </c>
      <c r="C130" t="inlineStr">
        <is>
          <t>Once Upon a Time in Hollywood</t>
        </is>
      </c>
      <c r="D130" s="4" t="n">
        <v>2019</v>
      </c>
      <c r="E130" s="4">
        <f>IF(D130="","",FLOOR(D130,10))</f>
        <v/>
      </c>
      <c r="F130" s="22" t="n">
        <v>165</v>
      </c>
      <c r="G130" s="23" t="n">
        <v>7.2</v>
      </c>
      <c r="H130" t="inlineStr">
        <is>
          <t>Quentin Tarantino</t>
        </is>
      </c>
      <c r="I130" t="inlineStr">
        <is>
          <t>Estados Unidos</t>
        </is>
      </c>
      <c r="J130" t="inlineStr">
        <is>
          <t>Comedia, Drama</t>
        </is>
      </c>
      <c r="M130" s="6" t="n"/>
      <c r="O130" s="24" t="inlineStr"/>
      <c r="Q130" s="25" t="n">
        <v>41082018</v>
      </c>
      <c r="R130" s="25" t="n">
        <v>142502728</v>
      </c>
      <c r="S130" s="25" t="n">
        <v>251366880</v>
      </c>
      <c r="T130" s="25">
        <f>IF(AND(R130="",S130=""),"",N(R130)+N(S130))</f>
        <v/>
      </c>
      <c r="U130" s="25" t="n"/>
      <c r="V130" s="26" t="inlineStr">
        <is>
          <t>IMDb</t>
        </is>
      </c>
      <c r="W130" s="26" t="inlineStr">
        <is>
          <t>FilmAffinity</t>
        </is>
      </c>
      <c r="X130" s="26" t="inlineStr">
        <is>
          <t>Letterboxd</t>
        </is>
      </c>
    </row>
    <row r="131">
      <c r="A131" t="inlineStr">
        <is>
          <t>p0130</t>
        </is>
      </c>
      <c r="B131" t="inlineStr">
        <is>
          <t>Mientras dure la guerra</t>
        </is>
      </c>
      <c r="C131" t="inlineStr">
        <is>
          <t>Mientras dure la guerra</t>
        </is>
      </c>
      <c r="D131" s="4" t="n">
        <v>2019</v>
      </c>
      <c r="E131" s="4">
        <f>IF(D131="","",FLOOR(D131,10))</f>
        <v/>
      </c>
      <c r="F131" s="22" t="n">
        <v>103</v>
      </c>
      <c r="G131" s="23" t="n">
        <v>6.9</v>
      </c>
      <c r="H131" t="inlineStr">
        <is>
          <t>Alejandro Amenábar</t>
        </is>
      </c>
      <c r="I131" t="inlineStr">
        <is>
          <t>España</t>
        </is>
      </c>
      <c r="J131" t="inlineStr">
        <is>
          <t>Drama, Histórico</t>
        </is>
      </c>
      <c r="M131" s="6" t="n"/>
      <c r="O131" s="24" t="inlineStr"/>
      <c r="Q131" s="25" t="n">
        <v>1331454</v>
      </c>
      <c r="R131" s="25" t="n">
        <v>12248603</v>
      </c>
      <c r="S131" s="25" t="n"/>
      <c r="T131" s="25">
        <f>IF(AND(R131="",S131=""),"",N(R131)+N(S131))</f>
        <v/>
      </c>
      <c r="U131" s="25" t="n"/>
      <c r="V131" s="26" t="inlineStr">
        <is>
          <t>IMDb</t>
        </is>
      </c>
      <c r="W131" s="26" t="inlineStr">
        <is>
          <t>FilmAffinity</t>
        </is>
      </c>
      <c r="X131" s="26" t="inlineStr">
        <is>
          <t>Letterboxd</t>
        </is>
      </c>
    </row>
    <row r="132">
      <c r="A132" t="inlineStr">
        <is>
          <t>p0131</t>
        </is>
      </c>
      <c r="B132" t="inlineStr">
        <is>
          <t>Vivir dos veces</t>
        </is>
      </c>
      <c r="C132" t="inlineStr">
        <is>
          <t>Vivir dos veces</t>
        </is>
      </c>
      <c r="D132" s="4" t="n">
        <v>2019</v>
      </c>
      <c r="E132" s="4">
        <f>IF(D132="","",FLOOR(D132,10))</f>
        <v/>
      </c>
      <c r="F132" s="22" t="n">
        <v>101</v>
      </c>
      <c r="G132" s="23" t="n">
        <v>6.9</v>
      </c>
      <c r="H132" t="inlineStr">
        <is>
          <t>María Ripoll</t>
        </is>
      </c>
      <c r="I132" t="inlineStr">
        <is>
          <t>España</t>
        </is>
      </c>
      <c r="J132" t="inlineStr">
        <is>
          <t>Comedia, Drama</t>
        </is>
      </c>
      <c r="M132" s="6" t="n"/>
      <c r="O132" s="24" t="inlineStr"/>
      <c r="Q132" s="25" t="n">
        <v>125014</v>
      </c>
      <c r="R132" s="25" t="n">
        <v>359906</v>
      </c>
      <c r="S132" s="25" t="n"/>
      <c r="T132" s="25">
        <f>IF(AND(R132="",S132=""),"",N(R132)+N(S132))</f>
        <v/>
      </c>
      <c r="U132" s="25" t="n"/>
      <c r="V132" s="26" t="inlineStr">
        <is>
          <t>IMDb</t>
        </is>
      </c>
      <c r="W132" s="26" t="inlineStr">
        <is>
          <t>FilmAffinity</t>
        </is>
      </c>
      <c r="X132" s="26" t="inlineStr">
        <is>
          <t>Letterboxd</t>
        </is>
      </c>
    </row>
    <row r="133">
      <c r="A133" t="inlineStr">
        <is>
          <t>p0132</t>
        </is>
      </c>
      <c r="B133" t="inlineStr">
        <is>
          <t>Saint Maud</t>
        </is>
      </c>
      <c r="C133" t="inlineStr">
        <is>
          <t>Saint Maud</t>
        </is>
      </c>
      <c r="D133" s="4" t="n">
        <v>2019</v>
      </c>
      <c r="E133" s="4">
        <f>IF(D133="","",FLOOR(D133,10))</f>
        <v/>
      </c>
      <c r="F133" s="22" t="n">
        <v>84</v>
      </c>
      <c r="G133" s="23" t="n">
        <v>6.8</v>
      </c>
      <c r="H133" t="inlineStr">
        <is>
          <t>Rose Glass</t>
        </is>
      </c>
      <c r="I133" t="inlineStr">
        <is>
          <t>Reino Unido</t>
        </is>
      </c>
      <c r="J133" t="inlineStr">
        <is>
          <t>Terror</t>
        </is>
      </c>
      <c r="M133" s="6" t="n"/>
      <c r="O133" s="24" t="inlineStr"/>
      <c r="Q133" s="25" t="n">
        <v>343683</v>
      </c>
      <c r="R133" s="25" t="n">
        <v>1126561</v>
      </c>
      <c r="S133" s="25" t="n"/>
      <c r="T133" s="25">
        <f>IF(AND(R133="",S133=""),"",N(R133)+N(S133))</f>
        <v/>
      </c>
      <c r="U133" s="25" t="n"/>
      <c r="V133" s="26" t="inlineStr">
        <is>
          <t>IMDb</t>
        </is>
      </c>
      <c r="W133" s="26" t="inlineStr">
        <is>
          <t>FilmAffinity</t>
        </is>
      </c>
      <c r="X133" s="26" t="inlineStr">
        <is>
          <t>Letterboxd</t>
        </is>
      </c>
    </row>
    <row r="134">
      <c r="A134" t="inlineStr">
        <is>
          <t>p0133</t>
        </is>
      </c>
      <c r="B134" t="inlineStr">
        <is>
          <t>Corpus Christi</t>
        </is>
      </c>
      <c r="C134" t="inlineStr">
        <is>
          <t>Corpus Christi</t>
        </is>
      </c>
      <c r="D134" s="4" t="n">
        <v>2019</v>
      </c>
      <c r="E134" s="4">
        <f>IF(D134="","",FLOOR(D134,10))</f>
        <v/>
      </c>
      <c r="F134" s="22" t="n">
        <v>116</v>
      </c>
      <c r="G134" s="23" t="n">
        <v>6.8</v>
      </c>
      <c r="H134" t="inlineStr">
        <is>
          <t>Jan Komasa</t>
        </is>
      </c>
      <c r="I134" t="inlineStr">
        <is>
          <t>Polonia</t>
        </is>
      </c>
      <c r="J134" t="inlineStr">
        <is>
          <t>Drama</t>
        </is>
      </c>
      <c r="M134" s="6" t="n"/>
      <c r="O134" s="24" t="inlineStr"/>
      <c r="Q134" s="25" t="n"/>
      <c r="R134" s="25" t="n">
        <v>8062012</v>
      </c>
      <c r="S134" s="25" t="n"/>
      <c r="T134" s="25">
        <f>IF(AND(R134="",S134=""),"",N(R134)+N(S134))</f>
        <v/>
      </c>
      <c r="U134" s="25" t="n"/>
      <c r="V134" s="26" t="inlineStr">
        <is>
          <t>IMDb</t>
        </is>
      </c>
      <c r="W134" s="26" t="inlineStr">
        <is>
          <t>FilmAffinity</t>
        </is>
      </c>
      <c r="X134" s="26" t="inlineStr">
        <is>
          <t>Letterboxd</t>
        </is>
      </c>
    </row>
    <row r="135">
      <c r="A135" t="inlineStr">
        <is>
          <t>p0134</t>
        </is>
      </c>
      <c r="B135" t="inlineStr">
        <is>
          <t>Secretos de Estado</t>
        </is>
      </c>
      <c r="C135" t="inlineStr">
        <is>
          <t>Official Secrets</t>
        </is>
      </c>
      <c r="D135" s="4" t="n">
        <v>2019</v>
      </c>
      <c r="E135" s="4">
        <f>IF(D135="","",FLOOR(D135,10))</f>
        <v/>
      </c>
      <c r="F135" s="22" t="n">
        <v>112</v>
      </c>
      <c r="G135" s="23" t="n">
        <v>6.7</v>
      </c>
      <c r="H135" t="inlineStr">
        <is>
          <t>Gavin Hood</t>
        </is>
      </c>
      <c r="I135" t="inlineStr">
        <is>
          <t>Reino Unido</t>
        </is>
      </c>
      <c r="J135" t="inlineStr">
        <is>
          <t>Drama, Thriller, Biográfico</t>
        </is>
      </c>
      <c r="M135" s="6" t="n"/>
      <c r="O135" s="24" t="inlineStr"/>
      <c r="Q135" s="25" t="n"/>
      <c r="R135" s="25" t="n"/>
      <c r="S135" s="25" t="n"/>
      <c r="T135" s="25">
        <f>IF(AND(R135="",S135=""),"",N(R135)+N(S135))</f>
        <v/>
      </c>
      <c r="U135" s="25" t="n"/>
      <c r="V135" s="26" t="inlineStr">
        <is>
          <t>IMDb</t>
        </is>
      </c>
      <c r="W135" s="26" t="inlineStr">
        <is>
          <t>FilmAffinity</t>
        </is>
      </c>
      <c r="X135" s="26" t="inlineStr">
        <is>
          <t>Letterboxd</t>
        </is>
      </c>
    </row>
    <row r="136">
      <c r="A136" t="inlineStr">
        <is>
          <t>p0135</t>
        </is>
      </c>
      <c r="B136" t="inlineStr">
        <is>
          <t>Yesterday</t>
        </is>
      </c>
      <c r="C136" t="inlineStr">
        <is>
          <t>Yesterday</t>
        </is>
      </c>
      <c r="D136" s="4" t="n">
        <v>2019</v>
      </c>
      <c r="E136" s="4">
        <f>IF(D136="","",FLOOR(D136,10))</f>
        <v/>
      </c>
      <c r="F136" s="22" t="n">
        <v>116</v>
      </c>
      <c r="G136" s="23" t="n">
        <v>6.6</v>
      </c>
      <c r="H136" t="inlineStr">
        <is>
          <t>Danny Boyle</t>
        </is>
      </c>
      <c r="I136" t="inlineStr">
        <is>
          <t>Reino Unido</t>
        </is>
      </c>
      <c r="J136" t="inlineStr">
        <is>
          <t>Comedia, Musical, Romance</t>
        </is>
      </c>
      <c r="M136" s="6" t="n"/>
      <c r="O136" s="24" t="inlineStr"/>
      <c r="Q136" s="25" t="n"/>
      <c r="R136" s="25" t="n"/>
      <c r="S136" s="25" t="n"/>
      <c r="T136" s="25">
        <f>IF(AND(R136="",S136=""),"",N(R136)+N(S136))</f>
        <v/>
      </c>
      <c r="U136" s="25" t="n"/>
      <c r="V136" s="26" t="inlineStr">
        <is>
          <t>IMDb</t>
        </is>
      </c>
      <c r="W136" s="26" t="inlineStr">
        <is>
          <t>FilmAffinity</t>
        </is>
      </c>
      <c r="X136" s="26" t="inlineStr">
        <is>
          <t>Letterboxd</t>
        </is>
      </c>
    </row>
    <row r="137">
      <c r="A137" t="inlineStr">
        <is>
          <t>p0136</t>
        </is>
      </c>
      <c r="B137" t="inlineStr">
        <is>
          <t>Alita: Ángel de Combate</t>
        </is>
      </c>
      <c r="C137" t="inlineStr">
        <is>
          <t>Alita: Battle Angel</t>
        </is>
      </c>
      <c r="D137" s="4" t="n">
        <v>2019</v>
      </c>
      <c r="E137" s="4">
        <f>IF(D137="","",FLOOR(D137,10))</f>
        <v/>
      </c>
      <c r="F137" s="22" t="n">
        <v>121</v>
      </c>
      <c r="G137" s="23" t="n">
        <v>6.6</v>
      </c>
      <c r="H137" t="inlineStr">
        <is>
          <t>Robert Rodríguez</t>
        </is>
      </c>
      <c r="I137" t="inlineStr">
        <is>
          <t>Estados Unidos</t>
        </is>
      </c>
      <c r="J137" t="inlineStr">
        <is>
          <t>Ciencia ficción, Acción</t>
        </is>
      </c>
      <c r="M137" s="6" t="n"/>
      <c r="O137" s="24" t="inlineStr"/>
      <c r="Q137" s="25" t="n"/>
      <c r="R137" s="25" t="n"/>
      <c r="S137" s="25" t="n"/>
      <c r="T137" s="25">
        <f>IF(AND(R137="",S137=""),"",N(R137)+N(S137))</f>
        <v/>
      </c>
      <c r="U137" s="25" t="n"/>
      <c r="V137" s="26" t="inlineStr">
        <is>
          <t>IMDb</t>
        </is>
      </c>
      <c r="W137" s="26" t="inlineStr">
        <is>
          <t>FilmAffinity</t>
        </is>
      </c>
      <c r="X137" s="26" t="inlineStr">
        <is>
          <t>Letterboxd</t>
        </is>
      </c>
    </row>
    <row r="138">
      <c r="A138" t="inlineStr">
        <is>
          <t>p0137</t>
        </is>
      </c>
      <c r="B138" t="inlineStr">
        <is>
          <t>El irlandés</t>
        </is>
      </c>
      <c r="C138" t="inlineStr">
        <is>
          <t>The Irishman</t>
        </is>
      </c>
      <c r="D138" s="4" t="n">
        <v>2019</v>
      </c>
      <c r="E138" s="4">
        <f>IF(D138="","",FLOOR(D138,10))</f>
        <v/>
      </c>
      <c r="F138" s="22" t="n">
        <v>209</v>
      </c>
      <c r="G138" s="23" t="n">
        <v>6.5</v>
      </c>
      <c r="H138" t="inlineStr">
        <is>
          <t>Martin Scorsese</t>
        </is>
      </c>
      <c r="I138" t="inlineStr">
        <is>
          <t>Estados Unidos</t>
        </is>
      </c>
      <c r="J138" t="inlineStr">
        <is>
          <t>Crimen, Drama, Biográfico</t>
        </is>
      </c>
      <c r="M138" s="6" t="n"/>
      <c r="O138" s="24" t="inlineStr"/>
      <c r="Q138" s="25" t="n"/>
      <c r="R138" s="25" t="n"/>
      <c r="S138" s="25" t="n"/>
      <c r="T138" s="25">
        <f>IF(AND(R138="",S138=""),"",N(R138)+N(S138))</f>
        <v/>
      </c>
      <c r="U138" s="25" t="n"/>
      <c r="V138" s="26" t="inlineStr">
        <is>
          <t>IMDb</t>
        </is>
      </c>
      <c r="W138" s="26" t="inlineStr">
        <is>
          <t>FilmAffinity</t>
        </is>
      </c>
      <c r="X138" s="26" t="inlineStr">
        <is>
          <t>Letterboxd</t>
        </is>
      </c>
    </row>
    <row r="139">
      <c r="A139" t="inlineStr">
        <is>
          <t>p0138</t>
        </is>
      </c>
      <c r="B139" t="inlineStr">
        <is>
          <t>The Vast of Night</t>
        </is>
      </c>
      <c r="C139" t="inlineStr">
        <is>
          <t>The Vast of Night</t>
        </is>
      </c>
      <c r="D139" s="4" t="n">
        <v>2019</v>
      </c>
      <c r="E139" s="4">
        <f>IF(D139="","",FLOOR(D139,10))</f>
        <v/>
      </c>
      <c r="F139" s="22" t="n">
        <v>91</v>
      </c>
      <c r="G139" s="23" t="n">
        <v>6.3</v>
      </c>
      <c r="H139" t="inlineStr">
        <is>
          <t>Andrew Patterson</t>
        </is>
      </c>
      <c r="I139" t="inlineStr">
        <is>
          <t>Estados Unidos</t>
        </is>
      </c>
      <c r="J139" t="inlineStr">
        <is>
          <t>Ciencia ficción, Misterio</t>
        </is>
      </c>
      <c r="M139" s="6" t="n"/>
      <c r="O139" s="24" t="inlineStr"/>
      <c r="Q139" s="25" t="n"/>
      <c r="R139" s="25" t="n"/>
      <c r="S139" s="25" t="n"/>
      <c r="T139" s="25">
        <f>IF(AND(R139="",S139=""),"",N(R139)+N(S139))</f>
        <v/>
      </c>
      <c r="U139" s="25" t="n"/>
      <c r="V139" s="26" t="inlineStr">
        <is>
          <t>IMDb</t>
        </is>
      </c>
      <c r="W139" s="26" t="inlineStr">
        <is>
          <t>FilmAffinity</t>
        </is>
      </c>
      <c r="X139" s="26" t="inlineStr">
        <is>
          <t>Letterboxd</t>
        </is>
      </c>
    </row>
    <row r="140">
      <c r="A140" t="inlineStr">
        <is>
          <t>p0139</t>
        </is>
      </c>
      <c r="B140" t="inlineStr">
        <is>
          <t>Spider-Man: Far From Home</t>
        </is>
      </c>
      <c r="C140" t="inlineStr">
        <is>
          <t>Spider-Man: Far From Home</t>
        </is>
      </c>
      <c r="D140" s="4" t="n">
        <v>2019</v>
      </c>
      <c r="E140" s="4">
        <f>IF(D140="","",FLOOR(D140,10))</f>
        <v/>
      </c>
      <c r="F140" s="22" t="n">
        <v>129</v>
      </c>
      <c r="G140" s="23" t="n">
        <v>6.2</v>
      </c>
      <c r="H140" t="inlineStr">
        <is>
          <t>Jon Watts</t>
        </is>
      </c>
      <c r="I140" t="inlineStr">
        <is>
          <t>Estados Unidos</t>
        </is>
      </c>
      <c r="J140" t="inlineStr">
        <is>
          <t>Superhéroes, Acción</t>
        </is>
      </c>
      <c r="K140" t="inlineStr">
        <is>
          <t>UCM</t>
        </is>
      </c>
      <c r="L140" t="inlineStr">
        <is>
          <t>Fase 3 · Saga del Infinito</t>
        </is>
      </c>
      <c r="M140" s="6" t="n"/>
      <c r="O140" s="24" t="inlineStr"/>
      <c r="Q140" s="25" t="n">
        <v>92579212</v>
      </c>
      <c r="R140" s="25" t="n">
        <v>391283774</v>
      </c>
      <c r="S140" s="25" t="n">
        <v>741414082</v>
      </c>
      <c r="T140" s="25">
        <f>IF(AND(R140="",S140=""),"",N(R140)+N(S140))</f>
        <v/>
      </c>
      <c r="U140" s="25" t="n">
        <v>160000000</v>
      </c>
      <c r="V140" s="26" t="inlineStr">
        <is>
          <t>IMDb</t>
        </is>
      </c>
      <c r="W140" s="26" t="inlineStr">
        <is>
          <t>FilmAffinity</t>
        </is>
      </c>
      <c r="X140" s="26" t="inlineStr">
        <is>
          <t>Letterboxd</t>
        </is>
      </c>
    </row>
    <row r="141">
      <c r="A141" t="inlineStr">
        <is>
          <t>p0140</t>
        </is>
      </c>
      <c r="B141" t="inlineStr">
        <is>
          <t>Feliz día de tu muerte 2</t>
        </is>
      </c>
      <c r="C141" t="inlineStr">
        <is>
          <t>Happy Death Day 2U</t>
        </is>
      </c>
      <c r="D141" s="4" t="n">
        <v>2019</v>
      </c>
      <c r="E141" s="4">
        <f>IF(D141="","",FLOOR(D141,10))</f>
        <v/>
      </c>
      <c r="F141" s="22" t="n">
        <v>100</v>
      </c>
      <c r="G141" s="23" t="n">
        <v>6.1</v>
      </c>
      <c r="H141" t="inlineStr">
        <is>
          <t>Christopher Landon</t>
        </is>
      </c>
      <c r="I141" t="inlineStr">
        <is>
          <t>Estados Unidos</t>
        </is>
      </c>
      <c r="J141" t="inlineStr">
        <is>
          <t>Terror, Comedia, Ciencia ficción</t>
        </is>
      </c>
      <c r="K141" t="inlineStr">
        <is>
          <t>Feliz día de tu muerte</t>
        </is>
      </c>
      <c r="M141" s="6" t="n"/>
      <c r="O141" s="24" t="inlineStr"/>
      <c r="Q141" s="25" t="n"/>
      <c r="R141" s="25" t="n"/>
      <c r="S141" s="25" t="n"/>
      <c r="T141" s="25">
        <f>IF(AND(R141="",S141=""),"",N(R141)+N(S141))</f>
        <v/>
      </c>
      <c r="U141" s="25" t="n"/>
      <c r="V141" s="26" t="inlineStr">
        <is>
          <t>IMDb</t>
        </is>
      </c>
      <c r="W141" s="26" t="inlineStr">
        <is>
          <t>FilmAffinity</t>
        </is>
      </c>
      <c r="X141" s="26" t="inlineStr">
        <is>
          <t>Letterboxd</t>
        </is>
      </c>
    </row>
    <row r="142">
      <c r="A142" t="inlineStr">
        <is>
          <t>p0141</t>
        </is>
      </c>
      <c r="B142" t="inlineStr">
        <is>
          <t>El hoyo</t>
        </is>
      </c>
      <c r="C142" t="inlineStr">
        <is>
          <t>El hoyo</t>
        </is>
      </c>
      <c r="D142" s="4" t="n">
        <v>2019</v>
      </c>
      <c r="E142" s="4">
        <f>IF(D142="","",FLOOR(D142,10))</f>
        <v/>
      </c>
      <c r="F142" s="22" t="n">
        <v>94</v>
      </c>
      <c r="G142" s="23" t="n">
        <v>5.9</v>
      </c>
      <c r="H142" t="inlineStr">
        <is>
          <t>Galder Gaztelu-Urrutia</t>
        </is>
      </c>
      <c r="I142" t="inlineStr">
        <is>
          <t>España</t>
        </is>
      </c>
      <c r="J142" t="inlineStr">
        <is>
          <t>Ciencia ficción, Terror, Thriller</t>
        </is>
      </c>
      <c r="M142" s="6" t="n"/>
      <c r="O142" s="24" t="inlineStr"/>
      <c r="Q142" s="25" t="n"/>
      <c r="R142" s="25" t="n"/>
      <c r="S142" s="25" t="n"/>
      <c r="T142" s="25">
        <f>IF(AND(R142="",S142=""),"",N(R142)+N(S142))</f>
        <v/>
      </c>
      <c r="U142" s="25" t="n"/>
      <c r="V142" s="26" t="inlineStr">
        <is>
          <t>IMDb</t>
        </is>
      </c>
      <c r="W142" s="26" t="inlineStr">
        <is>
          <t>FilmAffinity</t>
        </is>
      </c>
      <c r="X142" s="26" t="inlineStr">
        <is>
          <t>Letterboxd</t>
        </is>
      </c>
    </row>
    <row r="143">
      <c r="A143" t="inlineStr">
        <is>
          <t>p0142</t>
        </is>
      </c>
      <c r="B143" t="inlineStr">
        <is>
          <t>The Gentlemen: Los Señores de la Mafia</t>
        </is>
      </c>
      <c r="C143" t="inlineStr">
        <is>
          <t>The Gentlemen</t>
        </is>
      </c>
      <c r="D143" s="4" t="n">
        <v>2019</v>
      </c>
      <c r="E143" s="4">
        <f>IF(D143="","",FLOOR(D143,10))</f>
        <v/>
      </c>
      <c r="F143" s="22" t="n">
        <v>113</v>
      </c>
      <c r="G143" s="23" t="n">
        <v>5.2</v>
      </c>
      <c r="H143" t="inlineStr">
        <is>
          <t>Guy Ritchie</t>
        </is>
      </c>
      <c r="I143" t="inlineStr">
        <is>
          <t>Reino Unido</t>
        </is>
      </c>
      <c r="J143" t="inlineStr">
        <is>
          <t>Crimen, Comedia, Acción</t>
        </is>
      </c>
      <c r="M143" s="6" t="n"/>
      <c r="O143" s="24" t="inlineStr"/>
      <c r="Q143" s="25" t="n"/>
      <c r="R143" s="25" t="n"/>
      <c r="S143" s="25" t="n"/>
      <c r="T143" s="25">
        <f>IF(AND(R143="",S143=""),"",N(R143)+N(S143))</f>
        <v/>
      </c>
      <c r="U143" s="25" t="n"/>
      <c r="V143" s="26" t="inlineStr">
        <is>
          <t>IMDb</t>
        </is>
      </c>
      <c r="W143" s="26" t="inlineStr">
        <is>
          <t>FilmAffinity</t>
        </is>
      </c>
      <c r="X143" s="26" t="inlineStr">
        <is>
          <t>Letterboxd</t>
        </is>
      </c>
    </row>
    <row r="144">
      <c r="A144" t="inlineStr">
        <is>
          <t>p0143</t>
        </is>
      </c>
      <c r="B144" t="inlineStr">
        <is>
          <t>Nosotros</t>
        </is>
      </c>
      <c r="C144" t="inlineStr">
        <is>
          <t>Us</t>
        </is>
      </c>
      <c r="D144" s="4" t="n">
        <v>2019</v>
      </c>
      <c r="E144" s="4">
        <f>IF(D144="","",FLOOR(D144,10))</f>
        <v/>
      </c>
      <c r="F144" s="22" t="n">
        <v>120</v>
      </c>
      <c r="G144" s="23" t="n">
        <v>5.1</v>
      </c>
      <c r="H144" t="inlineStr">
        <is>
          <t>Jordan Peele</t>
        </is>
      </c>
      <c r="I144" t="inlineStr">
        <is>
          <t>Estados Unidos</t>
        </is>
      </c>
      <c r="J144" t="inlineStr">
        <is>
          <t>Terror, Thriller</t>
        </is>
      </c>
      <c r="M144" s="6" t="n"/>
      <c r="O144" s="24" t="inlineStr"/>
      <c r="Q144" s="25" t="n"/>
      <c r="R144" s="25" t="n"/>
      <c r="S144" s="25" t="n"/>
      <c r="T144" s="25">
        <f>IF(AND(R144="",S144=""),"",N(R144)+N(S144))</f>
        <v/>
      </c>
      <c r="U144" s="25" t="n"/>
      <c r="V144" s="26" t="inlineStr">
        <is>
          <t>IMDb</t>
        </is>
      </c>
      <c r="W144" s="26" t="inlineStr">
        <is>
          <t>FilmAffinity</t>
        </is>
      </c>
      <c r="X144" s="26" t="inlineStr">
        <is>
          <t>Letterboxd</t>
        </is>
      </c>
    </row>
    <row r="145">
      <c r="A145" t="inlineStr">
        <is>
          <t>p0144</t>
        </is>
      </c>
      <c r="B145" t="inlineStr">
        <is>
          <t>Guns Akimbo</t>
        </is>
      </c>
      <c r="C145" t="inlineStr">
        <is>
          <t>Guns Akimbo</t>
        </is>
      </c>
      <c r="D145" s="4" t="n">
        <v>2019</v>
      </c>
      <c r="E145" s="4">
        <f>IF(D145="","",FLOOR(D145,10))</f>
        <v/>
      </c>
      <c r="F145" s="22" t="n">
        <v>95</v>
      </c>
      <c r="G145" s="23" t="n">
        <v>5</v>
      </c>
      <c r="H145" t="inlineStr">
        <is>
          <t>Jason Lei Howden</t>
        </is>
      </c>
      <c r="I145" t="inlineStr">
        <is>
          <t>Nueva Zelanda</t>
        </is>
      </c>
      <c r="J145" t="inlineStr">
        <is>
          <t>Acción, Comedia</t>
        </is>
      </c>
      <c r="M145" s="6" t="n"/>
      <c r="O145" s="24" t="inlineStr"/>
      <c r="Q145" s="25" t="n"/>
      <c r="R145" s="25" t="n"/>
      <c r="S145" s="25" t="n"/>
      <c r="T145" s="25">
        <f>IF(AND(R145="",S145=""),"",N(R145)+N(S145))</f>
        <v/>
      </c>
      <c r="U145" s="25" t="n"/>
      <c r="V145" s="26" t="inlineStr">
        <is>
          <t>IMDb</t>
        </is>
      </c>
      <c r="W145" s="26" t="inlineStr">
        <is>
          <t>FilmAffinity</t>
        </is>
      </c>
      <c r="X145" s="26" t="inlineStr">
        <is>
          <t>Letterboxd</t>
        </is>
      </c>
    </row>
    <row r="146">
      <c r="A146" t="inlineStr">
        <is>
          <t>p0145</t>
        </is>
      </c>
      <c r="B146" t="inlineStr">
        <is>
          <t>Jumanji: Siguiente Nivel</t>
        </is>
      </c>
      <c r="C146" t="inlineStr">
        <is>
          <t>Jumanji: The Next Level</t>
        </is>
      </c>
      <c r="D146" s="4" t="n">
        <v>2019</v>
      </c>
      <c r="E146" s="4">
        <f>IF(D146="","",FLOOR(D146,10))</f>
        <v/>
      </c>
      <c r="F146" s="22" t="n">
        <v>123</v>
      </c>
      <c r="G146" s="23" t="n">
        <v>4.5</v>
      </c>
      <c r="H146" t="inlineStr">
        <is>
          <t>Jake Kasdan</t>
        </is>
      </c>
      <c r="I146" t="inlineStr">
        <is>
          <t>Estados Unidos</t>
        </is>
      </c>
      <c r="J146" t="inlineStr">
        <is>
          <t>Aventura, Comedia, Acción</t>
        </is>
      </c>
      <c r="K146" t="inlineStr">
        <is>
          <t>Jumanji</t>
        </is>
      </c>
      <c r="M146" s="6" t="n"/>
      <c r="O146" s="24" t="inlineStr"/>
      <c r="Q146" s="25" t="n"/>
      <c r="R146" s="25" t="n"/>
      <c r="S146" s="25" t="n"/>
      <c r="T146" s="25">
        <f>IF(AND(R146="",S146=""),"",N(R146)+N(S146))</f>
        <v/>
      </c>
      <c r="U146" s="25" t="n"/>
      <c r="V146" s="26" t="inlineStr">
        <is>
          <t>IMDb</t>
        </is>
      </c>
      <c r="W146" s="26" t="inlineStr">
        <is>
          <t>FilmAffinity</t>
        </is>
      </c>
      <c r="X146" s="26" t="inlineStr">
        <is>
          <t>Letterboxd</t>
        </is>
      </c>
    </row>
    <row r="147">
      <c r="A147" t="inlineStr">
        <is>
          <t>p0146</t>
        </is>
      </c>
      <c r="B147" t="inlineStr">
        <is>
          <t>Star Wars: El Ascenso de Skywalker</t>
        </is>
      </c>
      <c r="C147" t="inlineStr">
        <is>
          <t>Star Wars: The Rise of Skywalker</t>
        </is>
      </c>
      <c r="D147" s="4" t="n">
        <v>2019</v>
      </c>
      <c r="E147" s="4">
        <f>IF(D147="","",FLOOR(D147,10))</f>
        <v/>
      </c>
      <c r="F147" s="22" t="n">
        <v>141</v>
      </c>
      <c r="G147" s="23" t="n">
        <v>4.5</v>
      </c>
      <c r="H147" t="inlineStr">
        <is>
          <t>J.J. Abrams</t>
        </is>
      </c>
      <c r="I147" t="inlineStr">
        <is>
          <t>Estados Unidos</t>
        </is>
      </c>
      <c r="J147" t="inlineStr">
        <is>
          <t>Ciencia ficción, Aventura, Acción</t>
        </is>
      </c>
      <c r="K147" t="inlineStr">
        <is>
          <t>Star Wars</t>
        </is>
      </c>
      <c r="M147" s="6" t="n"/>
      <c r="O147" s="24" t="inlineStr"/>
      <c r="Q147" s="25" t="n">
        <v>177383864</v>
      </c>
      <c r="R147" s="25" t="n">
        <v>515202542</v>
      </c>
      <c r="S147" s="25" t="n">
        <v>561819830</v>
      </c>
      <c r="T147" s="25">
        <f>IF(AND(R147="",S147=""),"",N(R147)+N(S147))</f>
        <v/>
      </c>
      <c r="U147" s="25" t="n"/>
      <c r="V147" s="26" t="inlineStr">
        <is>
          <t>IMDb</t>
        </is>
      </c>
      <c r="W147" s="26" t="inlineStr">
        <is>
          <t>FilmAffinity</t>
        </is>
      </c>
      <c r="X147" s="26" t="inlineStr">
        <is>
          <t>Letterboxd</t>
        </is>
      </c>
    </row>
    <row r="148">
      <c r="A148" t="inlineStr">
        <is>
          <t>p0147</t>
        </is>
      </c>
      <c r="B148" t="inlineStr">
        <is>
          <t>Capitana Marvel</t>
        </is>
      </c>
      <c r="C148" t="inlineStr">
        <is>
          <t>Captain Marvel</t>
        </is>
      </c>
      <c r="D148" s="4" t="n">
        <v>2019</v>
      </c>
      <c r="E148" s="4">
        <f>IF(D148="","",FLOOR(D148,10))</f>
        <v/>
      </c>
      <c r="F148" s="22" t="n">
        <v>125</v>
      </c>
      <c r="G148" s="23" t="n">
        <v>4.4</v>
      </c>
      <c r="H148" t="inlineStr">
        <is>
          <t>Anna Boden / Ryan Fleck</t>
        </is>
      </c>
      <c r="I148" t="inlineStr">
        <is>
          <t>Estados Unidos</t>
        </is>
      </c>
      <c r="J148" t="inlineStr">
        <is>
          <t>Superhéroes, Ciencia ficción</t>
        </is>
      </c>
      <c r="K148" t="inlineStr">
        <is>
          <t>UCM</t>
        </is>
      </c>
      <c r="L148" t="inlineStr">
        <is>
          <t>Fase 3 · Saga del Infinito</t>
        </is>
      </c>
      <c r="M148" s="6" t="n"/>
      <c r="O148" s="24" t="inlineStr"/>
      <c r="Q148" s="25" t="n">
        <v>153433423</v>
      </c>
      <c r="R148" s="25" t="n">
        <v>426829839</v>
      </c>
      <c r="S148" s="25" t="n">
        <v>704586607</v>
      </c>
      <c r="T148" s="25">
        <f>IF(AND(R148="",S148=""),"",N(R148)+N(S148))</f>
        <v/>
      </c>
      <c r="U148" s="25" t="n">
        <v>160000000</v>
      </c>
      <c r="V148" s="26" t="inlineStr">
        <is>
          <t>IMDb</t>
        </is>
      </c>
      <c r="W148" s="26" t="inlineStr">
        <is>
          <t>FilmAffinity</t>
        </is>
      </c>
      <c r="X148" s="26" t="inlineStr">
        <is>
          <t>Letterboxd</t>
        </is>
      </c>
    </row>
    <row r="149">
      <c r="A149" t="inlineStr">
        <is>
          <t>p0148</t>
        </is>
      </c>
      <c r="B149" t="inlineStr">
        <is>
          <t>It Capítulo 2</t>
        </is>
      </c>
      <c r="C149" t="inlineStr">
        <is>
          <t>It Chapter Two</t>
        </is>
      </c>
      <c r="D149" s="4" t="n">
        <v>2019</v>
      </c>
      <c r="E149" s="4">
        <f>IF(D149="","",FLOOR(D149,10))</f>
        <v/>
      </c>
      <c r="F149" s="22" t="n">
        <v>169</v>
      </c>
      <c r="G149" s="23" t="n">
        <v>4.2</v>
      </c>
      <c r="H149" t="inlineStr">
        <is>
          <t>Andy Muschietti</t>
        </is>
      </c>
      <c r="I149" t="inlineStr">
        <is>
          <t>Estados Unidos</t>
        </is>
      </c>
      <c r="J149" t="inlineStr">
        <is>
          <t>Terror</t>
        </is>
      </c>
      <c r="K149" t="inlineStr">
        <is>
          <t>It</t>
        </is>
      </c>
      <c r="M149" s="6" t="n"/>
      <c r="O149" s="24" t="inlineStr"/>
      <c r="Q149" s="25" t="n"/>
      <c r="R149" s="25" t="n"/>
      <c r="S149" s="25" t="n"/>
      <c r="T149" s="25">
        <f>IF(AND(R149="",S149=""),"",N(R149)+N(S149))</f>
        <v/>
      </c>
      <c r="U149" s="25" t="n"/>
      <c r="V149" s="26" t="inlineStr">
        <is>
          <t>IMDb</t>
        </is>
      </c>
      <c r="W149" s="26" t="inlineStr">
        <is>
          <t>FilmAffinity</t>
        </is>
      </c>
      <c r="X149" s="26" t="inlineStr">
        <is>
          <t>Letterboxd</t>
        </is>
      </c>
    </row>
    <row r="150">
      <c r="A150" t="inlineStr">
        <is>
          <t>p0149</t>
        </is>
      </c>
      <c r="B150" t="inlineStr">
        <is>
          <t>Chicos Buenos</t>
        </is>
      </c>
      <c r="C150" t="inlineStr">
        <is>
          <t>Good Boys</t>
        </is>
      </c>
      <c r="D150" s="4" t="n">
        <v>2019</v>
      </c>
      <c r="E150" s="4">
        <f>IF(D150="","",FLOOR(D150,10))</f>
        <v/>
      </c>
      <c r="F150" s="22" t="n">
        <v>85</v>
      </c>
      <c r="G150" s="23" t="n">
        <v>3.9</v>
      </c>
      <c r="H150" t="inlineStr">
        <is>
          <t>Gene Stupnitsky</t>
        </is>
      </c>
      <c r="I150" t="inlineStr">
        <is>
          <t>Estados Unidos</t>
        </is>
      </c>
      <c r="J150" t="inlineStr">
        <is>
          <t>Comedia</t>
        </is>
      </c>
      <c r="M150" s="6" t="n"/>
      <c r="O150" s="24" t="inlineStr"/>
      <c r="Q150" s="25" t="n"/>
      <c r="R150" s="25" t="n"/>
      <c r="S150" s="25" t="n"/>
      <c r="T150" s="25">
        <f>IF(AND(R150="",S150=""),"",N(R150)+N(S150))</f>
        <v/>
      </c>
      <c r="U150" s="25" t="n"/>
      <c r="V150" s="26" t="inlineStr">
        <is>
          <t>IMDb</t>
        </is>
      </c>
      <c r="W150" s="26" t="inlineStr">
        <is>
          <t>FilmAffinity</t>
        </is>
      </c>
      <c r="X150" s="26" t="inlineStr">
        <is>
          <t>Letterboxd</t>
        </is>
      </c>
    </row>
    <row r="151">
      <c r="A151" t="inlineStr">
        <is>
          <t>p0150</t>
        </is>
      </c>
      <c r="B151" t="inlineStr">
        <is>
          <t>6 en la Sombra</t>
        </is>
      </c>
      <c r="C151" t="inlineStr">
        <is>
          <t>6 Underground</t>
        </is>
      </c>
      <c r="D151" s="4" t="n">
        <v>2019</v>
      </c>
      <c r="E151" s="4">
        <f>IF(D151="","",FLOOR(D151,10))</f>
        <v/>
      </c>
      <c r="F151" s="22" t="n">
        <v>128</v>
      </c>
      <c r="G151" s="23" t="n">
        <v>2.9</v>
      </c>
      <c r="H151" t="inlineStr">
        <is>
          <t>Michael Bay</t>
        </is>
      </c>
      <c r="I151" t="inlineStr">
        <is>
          <t>Estados Unidos</t>
        </is>
      </c>
      <c r="J151" t="inlineStr">
        <is>
          <t>Acción</t>
        </is>
      </c>
      <c r="M151" s="6" t="n"/>
      <c r="O151" s="24" t="inlineStr"/>
      <c r="Q151" s="25" t="n"/>
      <c r="R151" s="25" t="n"/>
      <c r="S151" s="25" t="n"/>
      <c r="T151" s="25">
        <f>IF(AND(R151="",S151=""),"",N(R151)+N(S151))</f>
        <v/>
      </c>
      <c r="U151" s="25" t="n"/>
      <c r="V151" s="26" t="inlineStr">
        <is>
          <t>IMDb</t>
        </is>
      </c>
      <c r="W151" s="26" t="inlineStr">
        <is>
          <t>FilmAffinity</t>
        </is>
      </c>
      <c r="X151" s="26" t="inlineStr">
        <is>
          <t>Letterboxd</t>
        </is>
      </c>
    </row>
    <row r="152">
      <c r="A152" t="inlineStr">
        <is>
          <t>p0151</t>
        </is>
      </c>
      <c r="B152" t="inlineStr">
        <is>
          <t>Padre no hay más que uno</t>
        </is>
      </c>
      <c r="C152" t="inlineStr">
        <is>
          <t>Padre no hay más que uno</t>
        </is>
      </c>
      <c r="D152" s="4" t="n">
        <v>2019</v>
      </c>
      <c r="E152" s="4">
        <f>IF(D152="","",FLOOR(D152,10))</f>
        <v/>
      </c>
      <c r="F152" s="22" t="n">
        <v>96</v>
      </c>
      <c r="G152" s="23" t="n">
        <v>2.5</v>
      </c>
      <c r="H152" t="inlineStr">
        <is>
          <t>Santiago Segura</t>
        </is>
      </c>
      <c r="I152" t="inlineStr">
        <is>
          <t>España</t>
        </is>
      </c>
      <c r="J152" t="inlineStr">
        <is>
          <t>Comedia, Familiar</t>
        </is>
      </c>
      <c r="M152" s="6" t="n"/>
      <c r="O152" s="24" t="inlineStr"/>
      <c r="Q152" s="25" t="n"/>
      <c r="R152" s="25" t="n"/>
      <c r="S152" s="25" t="n"/>
      <c r="T152" s="25">
        <f>IF(AND(R152="",S152=""),"",N(R152)+N(S152))</f>
        <v/>
      </c>
      <c r="U152" s="25" t="n"/>
      <c r="V152" s="26" t="inlineStr">
        <is>
          <t>IMDb</t>
        </is>
      </c>
      <c r="W152" s="26" t="inlineStr">
        <is>
          <t>FilmAffinity</t>
        </is>
      </c>
      <c r="X152" s="26" t="inlineStr">
        <is>
          <t>Letterboxd</t>
        </is>
      </c>
    </row>
    <row r="153">
      <c r="A153" t="inlineStr">
        <is>
          <t>p0152</t>
        </is>
      </c>
      <c r="B153" t="inlineStr">
        <is>
          <t>A pesar de todo</t>
        </is>
      </c>
      <c r="C153" t="inlineStr">
        <is>
          <t>A pesar de todo</t>
        </is>
      </c>
      <c r="D153" s="4" t="n">
        <v>2019</v>
      </c>
      <c r="E153" s="4">
        <f>IF(D153="","",FLOOR(D153,10))</f>
        <v/>
      </c>
      <c r="F153" s="22" t="n">
        <v>78</v>
      </c>
      <c r="G153" s="23" t="n">
        <v>0</v>
      </c>
      <c r="H153" t="inlineStr">
        <is>
          <t>Gabriela Tagliavini</t>
        </is>
      </c>
      <c r="I153" t="inlineStr">
        <is>
          <t>España</t>
        </is>
      </c>
      <c r="J153" t="inlineStr">
        <is>
          <t>Comedia</t>
        </is>
      </c>
      <c r="M153" s="6" t="n"/>
      <c r="O153" s="24" t="inlineStr"/>
      <c r="Q153" s="25" t="n"/>
      <c r="R153" s="25" t="n"/>
      <c r="S153" s="25" t="n"/>
      <c r="T153" s="25">
        <f>IF(AND(R153="",S153=""),"",N(R153)+N(S153))</f>
        <v/>
      </c>
      <c r="U153" s="25" t="n"/>
      <c r="V153" s="26" t="inlineStr">
        <is>
          <t>IMDb</t>
        </is>
      </c>
      <c r="W153" s="26" t="inlineStr">
        <is>
          <t>FilmAffinity</t>
        </is>
      </c>
      <c r="X153" s="26" t="inlineStr">
        <is>
          <t>Letterboxd</t>
        </is>
      </c>
    </row>
    <row r="154">
      <c r="A154" t="inlineStr">
        <is>
          <t>p0153</t>
        </is>
      </c>
      <c r="B154" t="inlineStr">
        <is>
          <t>Vengadores: Infinity War</t>
        </is>
      </c>
      <c r="C154" t="inlineStr">
        <is>
          <t>Avengers: Infinity War</t>
        </is>
      </c>
      <c r="D154" s="4" t="n">
        <v>2018</v>
      </c>
      <c r="E154" s="4">
        <f>IF(D154="","",FLOOR(D154,10))</f>
        <v/>
      </c>
      <c r="F154" s="22" t="n">
        <v>156</v>
      </c>
      <c r="G154" s="23" t="n">
        <v>8.6</v>
      </c>
      <c r="H154" t="inlineStr">
        <is>
          <t>Anthony Russo / Joe Russo</t>
        </is>
      </c>
      <c r="I154" t="inlineStr">
        <is>
          <t>Estados Unidos</t>
        </is>
      </c>
      <c r="J154" t="inlineStr">
        <is>
          <t>Superhéroes, Acción, Ciencia ficción</t>
        </is>
      </c>
      <c r="K154" t="inlineStr">
        <is>
          <t>UCM</t>
        </is>
      </c>
      <c r="L154" t="inlineStr">
        <is>
          <t>Fase 3 · Saga del Infinito</t>
        </is>
      </c>
      <c r="M154" s="6" t="n"/>
      <c r="O154" s="24" t="inlineStr"/>
      <c r="Q154" s="25" t="n">
        <v>257698183</v>
      </c>
      <c r="R154" s="25" t="n">
        <v>678815482</v>
      </c>
      <c r="S154" s="25" t="n">
        <v>1373599557</v>
      </c>
      <c r="T154" s="25">
        <f>IF(AND(R154="",S154=""),"",N(R154)+N(S154))</f>
        <v/>
      </c>
      <c r="U154" s="25" t="n">
        <v>350000000</v>
      </c>
      <c r="V154" s="26" t="inlineStr">
        <is>
          <t>IMDb</t>
        </is>
      </c>
      <c r="W154" s="26" t="inlineStr">
        <is>
          <t>FilmAffinity</t>
        </is>
      </c>
      <c r="X154" s="26" t="inlineStr">
        <is>
          <t>Letterboxd</t>
        </is>
      </c>
    </row>
    <row r="155">
      <c r="A155" t="inlineStr">
        <is>
          <t>p0154</t>
        </is>
      </c>
      <c r="B155" t="inlineStr">
        <is>
          <t>Green Book</t>
        </is>
      </c>
      <c r="C155" t="inlineStr">
        <is>
          <t>Green Book</t>
        </is>
      </c>
      <c r="D155" s="4" t="n">
        <v>2018</v>
      </c>
      <c r="E155" s="4">
        <f>IF(D155="","",FLOOR(D155,10))</f>
        <v/>
      </c>
      <c r="F155" s="22" t="n">
        <v>130</v>
      </c>
      <c r="G155" s="23" t="n">
        <v>8.199999999999999</v>
      </c>
      <c r="H155" t="inlineStr">
        <is>
          <t>Peter Farrelly</t>
        </is>
      </c>
      <c r="I155" t="inlineStr">
        <is>
          <t>Estados Unidos</t>
        </is>
      </c>
      <c r="J155" t="inlineStr">
        <is>
          <t>Drama, Comedia, Biográfico</t>
        </is>
      </c>
      <c r="M155" s="6" t="n"/>
      <c r="O155" s="24" t="inlineStr"/>
      <c r="Q155" s="25" t="n">
        <v>320429</v>
      </c>
      <c r="R155" s="25" t="n">
        <v>85080171</v>
      </c>
      <c r="S155" s="25" t="n">
        <v>236672485</v>
      </c>
      <c r="T155" s="25">
        <f>IF(AND(R155="",S155=""),"",N(R155)+N(S155))</f>
        <v/>
      </c>
      <c r="U155" s="25" t="n"/>
      <c r="V155" s="26" t="inlineStr">
        <is>
          <t>IMDb</t>
        </is>
      </c>
      <c r="W155" s="26" t="inlineStr">
        <is>
          <t>FilmAffinity</t>
        </is>
      </c>
      <c r="X155" s="26" t="inlineStr">
        <is>
          <t>Letterboxd</t>
        </is>
      </c>
    </row>
    <row r="156">
      <c r="A156" t="inlineStr">
        <is>
          <t>p0155</t>
        </is>
      </c>
      <c r="B156" t="inlineStr">
        <is>
          <t>Spider-Man: Un nuevo universo</t>
        </is>
      </c>
      <c r="C156" t="inlineStr">
        <is>
          <t>Spider-Man: Into the Spider-Verse</t>
        </is>
      </c>
      <c r="D156" s="4" t="n">
        <v>2018</v>
      </c>
      <c r="E156" s="4">
        <f>IF(D156="","",FLOOR(D156,10))</f>
        <v/>
      </c>
      <c r="F156" s="22" t="n">
        <v>117</v>
      </c>
      <c r="G156" s="23" t="n">
        <v>8.199999999999999</v>
      </c>
      <c r="H156" t="inlineStr">
        <is>
          <t>Bob Persichetti / Peter Ramsey / Rodney Rothman</t>
        </is>
      </c>
      <c r="I156" t="inlineStr">
        <is>
          <t>Estados Unidos</t>
        </is>
      </c>
      <c r="J156" t="inlineStr">
        <is>
          <t>Animación, Superhéroes, Acción</t>
        </is>
      </c>
      <c r="K156" t="inlineStr">
        <is>
          <t>Spider-Man</t>
        </is>
      </c>
      <c r="M156" s="6" t="n"/>
      <c r="O156" s="24" t="inlineStr"/>
      <c r="Q156" s="25" t="n"/>
      <c r="R156" s="25" t="n"/>
      <c r="S156" s="25" t="n"/>
      <c r="T156" s="25">
        <f>IF(AND(R156="",S156=""),"",N(R156)+N(S156))</f>
        <v/>
      </c>
      <c r="U156" s="25" t="n"/>
      <c r="V156" s="26" t="inlineStr">
        <is>
          <t>IMDb</t>
        </is>
      </c>
      <c r="W156" s="26" t="inlineStr">
        <is>
          <t>FilmAffinity</t>
        </is>
      </c>
      <c r="X156" s="26" t="inlineStr">
        <is>
          <t>Letterboxd</t>
        </is>
      </c>
    </row>
    <row r="157">
      <c r="A157" t="inlineStr">
        <is>
          <t>p0156</t>
        </is>
      </c>
      <c r="B157" t="inlineStr">
        <is>
          <t>Campeones</t>
        </is>
      </c>
      <c r="C157" t="inlineStr">
        <is>
          <t>Campeones</t>
        </is>
      </c>
      <c r="D157" s="4" t="n">
        <v>2018</v>
      </c>
      <c r="E157" s="4">
        <f>IF(D157="","",FLOOR(D157,10))</f>
        <v/>
      </c>
      <c r="F157" s="22" t="n">
        <v>124</v>
      </c>
      <c r="G157" s="23" t="n">
        <v>7.5</v>
      </c>
      <c r="H157" t="inlineStr">
        <is>
          <t>Javier Fesser</t>
        </is>
      </c>
      <c r="I157" t="inlineStr">
        <is>
          <t>España</t>
        </is>
      </c>
      <c r="J157" t="inlineStr">
        <is>
          <t>Comedia, Drama</t>
        </is>
      </c>
      <c r="M157" s="6" t="n"/>
      <c r="O157" s="24" t="inlineStr"/>
      <c r="Q157" s="25" t="n"/>
      <c r="R157" s="25" t="n">
        <v>23140255</v>
      </c>
      <c r="S157" s="25" t="n"/>
      <c r="T157" s="25">
        <f>IF(AND(R157="",S157=""),"",N(R157)+N(S157))</f>
        <v/>
      </c>
      <c r="U157" s="25" t="n"/>
      <c r="V157" s="26" t="inlineStr">
        <is>
          <t>IMDb</t>
        </is>
      </c>
      <c r="W157" s="26" t="inlineStr">
        <is>
          <t>FilmAffinity</t>
        </is>
      </c>
      <c r="X157" s="26" t="inlineStr">
        <is>
          <t>Letterboxd</t>
        </is>
      </c>
    </row>
    <row r="158">
      <c r="A158" t="inlineStr">
        <is>
          <t>p0157</t>
        </is>
      </c>
      <c r="B158" t="inlineStr">
        <is>
          <t>El reino</t>
        </is>
      </c>
      <c r="C158" t="inlineStr">
        <is>
          <t>El reino</t>
        </is>
      </c>
      <c r="D158" s="4" t="n">
        <v>2018</v>
      </c>
      <c r="E158" s="4">
        <f>IF(D158="","",FLOOR(D158,10))</f>
        <v/>
      </c>
      <c r="F158" s="22" t="n">
        <v>131</v>
      </c>
      <c r="G158" s="23" t="n">
        <v>7.4</v>
      </c>
      <c r="H158" t="inlineStr">
        <is>
          <t>Rodrigo Sorogoyen</t>
        </is>
      </c>
      <c r="I158" t="inlineStr">
        <is>
          <t>España</t>
        </is>
      </c>
      <c r="J158" t="inlineStr">
        <is>
          <t>Thriller, Drama</t>
        </is>
      </c>
      <c r="M158" s="6" t="n"/>
      <c r="O158" s="24" t="inlineStr"/>
      <c r="Q158" s="25" t="n">
        <v>392535</v>
      </c>
      <c r="R158" s="25" t="n">
        <v>2126325</v>
      </c>
      <c r="S158" s="25" t="n"/>
      <c r="T158" s="25">
        <f>IF(AND(R158="",S158=""),"",N(R158)+N(S158))</f>
        <v/>
      </c>
      <c r="U158" s="25" t="n"/>
      <c r="V158" s="26" t="inlineStr">
        <is>
          <t>IMDb</t>
        </is>
      </c>
      <c r="W158" s="26" t="inlineStr">
        <is>
          <t>FilmAffinity</t>
        </is>
      </c>
      <c r="X158" s="26" t="inlineStr">
        <is>
          <t>Letterboxd</t>
        </is>
      </c>
    </row>
    <row r="159">
      <c r="A159" t="inlineStr">
        <is>
          <t>p0158</t>
        </is>
      </c>
      <c r="B159" t="inlineStr">
        <is>
          <t>Un día más con vida</t>
        </is>
      </c>
      <c r="C159" t="inlineStr">
        <is>
          <t>Another Day of Life</t>
        </is>
      </c>
      <c r="D159" s="4" t="n">
        <v>2018</v>
      </c>
      <c r="E159" s="4">
        <f>IF(D159="","",FLOOR(D159,10))</f>
        <v/>
      </c>
      <c r="F159" s="22" t="n">
        <v>85</v>
      </c>
      <c r="G159" s="23" t="n">
        <v>7.2</v>
      </c>
      <c r="H159" t="inlineStr">
        <is>
          <t>Raúl de la Fuente / Damian Nenow</t>
        </is>
      </c>
      <c r="I159" t="inlineStr">
        <is>
          <t>España</t>
        </is>
      </c>
      <c r="J159" t="inlineStr">
        <is>
          <t>Animación, Drama, Bélico</t>
        </is>
      </c>
      <c r="M159" s="6" t="n"/>
      <c r="O159" s="24" t="inlineStr"/>
      <c r="Q159" s="25" t="n"/>
      <c r="R159" s="25" t="n"/>
      <c r="S159" s="25" t="n"/>
      <c r="T159" s="25">
        <f>IF(AND(R159="",S159=""),"",N(R159)+N(S159))</f>
        <v/>
      </c>
      <c r="U159" s="25" t="n"/>
      <c r="V159" s="26" t="inlineStr">
        <is>
          <t>IMDb</t>
        </is>
      </c>
      <c r="W159" s="26" t="inlineStr">
        <is>
          <t>FilmAffinity</t>
        </is>
      </c>
      <c r="X159" s="26" t="inlineStr">
        <is>
          <t>Letterboxd</t>
        </is>
      </c>
    </row>
    <row r="160">
      <c r="A160" t="inlineStr">
        <is>
          <t>p0159</t>
        </is>
      </c>
      <c r="B160" t="inlineStr">
        <is>
          <t>Dragon Ball Super: Broly</t>
        </is>
      </c>
      <c r="C160" t="inlineStr">
        <is>
          <t>Dragon Ball Super: Broly</t>
        </is>
      </c>
      <c r="D160" s="4" t="n">
        <v>2018</v>
      </c>
      <c r="E160" s="4">
        <f>IF(D160="","",FLOOR(D160,10))</f>
        <v/>
      </c>
      <c r="F160" s="22" t="n">
        <v>100</v>
      </c>
      <c r="G160" s="23" t="n">
        <v>7.1</v>
      </c>
      <c r="H160" t="inlineStr">
        <is>
          <t>Tatsuya Nagamine</t>
        </is>
      </c>
      <c r="I160" t="inlineStr">
        <is>
          <t>Japón</t>
        </is>
      </c>
      <c r="J160" t="inlineStr">
        <is>
          <t>Animación, Acción</t>
        </is>
      </c>
      <c r="K160" t="inlineStr">
        <is>
          <t>Dragon Ball</t>
        </is>
      </c>
      <c r="M160" s="6" t="n"/>
      <c r="O160" s="24" t="inlineStr"/>
      <c r="Q160" s="25" t="n"/>
      <c r="R160" s="25" t="n"/>
      <c r="S160" s="25" t="n"/>
      <c r="T160" s="25">
        <f>IF(AND(R160="",S160=""),"",N(R160)+N(S160))</f>
        <v/>
      </c>
      <c r="U160" s="25" t="n"/>
      <c r="V160" s="26" t="inlineStr">
        <is>
          <t>IMDb</t>
        </is>
      </c>
      <c r="W160" s="26" t="inlineStr">
        <is>
          <t>FilmAffinity</t>
        </is>
      </c>
      <c r="X160" s="26" t="inlineStr">
        <is>
          <t>Letterboxd</t>
        </is>
      </c>
    </row>
    <row r="161">
      <c r="A161" t="inlineStr">
        <is>
          <t>p0160</t>
        </is>
      </c>
      <c r="B161" t="inlineStr">
        <is>
          <t>Bohemian Rhapsody</t>
        </is>
      </c>
      <c r="C161" t="inlineStr">
        <is>
          <t>Bohemian Rhapsody</t>
        </is>
      </c>
      <c r="D161" s="4" t="n">
        <v>2018</v>
      </c>
      <c r="E161" s="4">
        <f>IF(D161="","",FLOOR(D161,10))</f>
        <v/>
      </c>
      <c r="F161" s="22" t="n">
        <v>134</v>
      </c>
      <c r="G161" s="23" t="n">
        <v>7</v>
      </c>
      <c r="H161" t="inlineStr">
        <is>
          <t>Bryan Singer</t>
        </is>
      </c>
      <c r="I161" t="inlineStr">
        <is>
          <t>Reino Unido</t>
        </is>
      </c>
      <c r="J161" t="inlineStr">
        <is>
          <t>Biográfico, Musical, Drama</t>
        </is>
      </c>
      <c r="M161" s="6" t="n"/>
      <c r="O161" s="24" t="inlineStr"/>
      <c r="Q161" s="25" t="n">
        <v>51061119</v>
      </c>
      <c r="R161" s="25" t="n">
        <v>216668042</v>
      </c>
      <c r="S161" s="25" t="n">
        <v>694354917</v>
      </c>
      <c r="T161" s="25">
        <f>IF(AND(R161="",S161=""),"",N(R161)+N(S161))</f>
        <v/>
      </c>
      <c r="U161" s="25" t="n"/>
      <c r="V161" s="26" t="inlineStr">
        <is>
          <t>IMDb</t>
        </is>
      </c>
      <c r="W161" s="26" t="inlineStr">
        <is>
          <t>FilmAffinity</t>
        </is>
      </c>
      <c r="X161" s="26" t="inlineStr">
        <is>
          <t>Letterboxd</t>
        </is>
      </c>
    </row>
    <row r="162">
      <c r="A162" t="inlineStr">
        <is>
          <t>p0161</t>
        </is>
      </c>
      <c r="B162" t="inlineStr">
        <is>
          <t>Todos lo saben</t>
        </is>
      </c>
      <c r="C162" t="inlineStr">
        <is>
          <t>Todos lo saben</t>
        </is>
      </c>
      <c r="D162" s="4" t="n">
        <v>2018</v>
      </c>
      <c r="E162" s="4">
        <f>IF(D162="","",FLOOR(D162,10))</f>
        <v/>
      </c>
      <c r="F162" s="22" t="n">
        <v>130</v>
      </c>
      <c r="G162" s="23" t="n">
        <v>7</v>
      </c>
      <c r="H162" t="inlineStr">
        <is>
          <t>Asghar Farhadi</t>
        </is>
      </c>
      <c r="I162" t="inlineStr">
        <is>
          <t>España</t>
        </is>
      </c>
      <c r="J162" t="inlineStr">
        <is>
          <t>Thriller, Drama, Misterio</t>
        </is>
      </c>
      <c r="M162" s="6" t="n"/>
      <c r="O162" s="24" t="inlineStr"/>
      <c r="Q162" s="25" t="n"/>
      <c r="R162" s="25" t="n"/>
      <c r="S162" s="25" t="n"/>
      <c r="T162" s="25">
        <f>IF(AND(R162="",S162=""),"",N(R162)+N(S162))</f>
        <v/>
      </c>
      <c r="U162" s="25" t="n"/>
      <c r="V162" s="26" t="inlineStr">
        <is>
          <t>IMDb</t>
        </is>
      </c>
      <c r="W162" s="26" t="inlineStr">
        <is>
          <t>FilmAffinity</t>
        </is>
      </c>
      <c r="X162" s="26" t="inlineStr">
        <is>
          <t>Letterboxd</t>
        </is>
      </c>
    </row>
    <row r="163">
      <c r="A163" t="inlineStr">
        <is>
          <t>p0162</t>
        </is>
      </c>
      <c r="B163" t="inlineStr">
        <is>
          <t>Bienvenidos a Marwen</t>
        </is>
      </c>
      <c r="C163" t="inlineStr">
        <is>
          <t>Welcome to Marwen</t>
        </is>
      </c>
      <c r="D163" s="4" t="n">
        <v>2018</v>
      </c>
      <c r="E163" s="4">
        <f>IF(D163="","",FLOOR(D163,10))</f>
        <v/>
      </c>
      <c r="F163" s="22" t="n">
        <v>116</v>
      </c>
      <c r="G163" s="23" t="n">
        <v>6.9</v>
      </c>
      <c r="H163" t="inlineStr">
        <is>
          <t>Robert Zemeckis</t>
        </is>
      </c>
      <c r="I163" t="inlineStr">
        <is>
          <t>Estados Unidos</t>
        </is>
      </c>
      <c r="J163" t="inlineStr">
        <is>
          <t>Drama, Fantasía</t>
        </is>
      </c>
      <c r="M163" s="6" t="n"/>
      <c r="O163" s="24" t="inlineStr"/>
      <c r="Q163" s="25" t="n"/>
      <c r="R163" s="25" t="n"/>
      <c r="S163" s="25" t="n"/>
      <c r="T163" s="25">
        <f>IF(AND(R163="",S163=""),"",N(R163)+N(S163))</f>
        <v/>
      </c>
      <c r="U163" s="25" t="n"/>
      <c r="V163" s="26" t="inlineStr">
        <is>
          <t>IMDb</t>
        </is>
      </c>
      <c r="W163" s="26" t="inlineStr">
        <is>
          <t>FilmAffinity</t>
        </is>
      </c>
      <c r="X163" s="26" t="inlineStr">
        <is>
          <t>Letterboxd</t>
        </is>
      </c>
    </row>
    <row r="164">
      <c r="A164" t="inlineStr">
        <is>
          <t>p0163</t>
        </is>
      </c>
      <c r="B164" t="inlineStr">
        <is>
          <t>Hereditary</t>
        </is>
      </c>
      <c r="C164" t="inlineStr">
        <is>
          <t>Hereditary</t>
        </is>
      </c>
      <c r="D164" s="4" t="n">
        <v>2018</v>
      </c>
      <c r="E164" s="4">
        <f>IF(D164="","",FLOOR(D164,10))</f>
        <v/>
      </c>
      <c r="F164" s="22" t="n">
        <v>126</v>
      </c>
      <c r="G164" s="23" t="n">
        <v>6.6</v>
      </c>
      <c r="H164" t="inlineStr">
        <is>
          <t>Ari Aster</t>
        </is>
      </c>
      <c r="I164" t="inlineStr">
        <is>
          <t>Estados Unidos</t>
        </is>
      </c>
      <c r="J164" t="inlineStr">
        <is>
          <t>Terror</t>
        </is>
      </c>
      <c r="M164" s="6" t="n"/>
      <c r="O164" s="24" t="inlineStr"/>
      <c r="Q164" s="25" t="n">
        <v>13575172</v>
      </c>
      <c r="R164" s="25" t="n">
        <v>44069456</v>
      </c>
      <c r="S164" s="25" t="n">
        <v>46361871</v>
      </c>
      <c r="T164" s="25">
        <f>IF(AND(R164="",S164=""),"",N(R164)+N(S164))</f>
        <v/>
      </c>
      <c r="U164" s="25" t="n"/>
      <c r="V164" s="26" t="inlineStr">
        <is>
          <t>IMDb</t>
        </is>
      </c>
      <c r="W164" s="26" t="inlineStr">
        <is>
          <t>FilmAffinity</t>
        </is>
      </c>
      <c r="X164" s="26" t="inlineStr">
        <is>
          <t>Letterboxd</t>
        </is>
      </c>
    </row>
    <row r="165">
      <c r="A165" t="inlineStr">
        <is>
          <t>p0164</t>
        </is>
      </c>
      <c r="B165" t="inlineStr">
        <is>
          <t>Un Lugar Tranquilo</t>
        </is>
      </c>
      <c r="C165" t="inlineStr">
        <is>
          <t>A Quiet Place</t>
        </is>
      </c>
      <c r="D165" s="4" t="n">
        <v>2018</v>
      </c>
      <c r="E165" s="4">
        <f>IF(D165="","",FLOOR(D165,10))</f>
        <v/>
      </c>
      <c r="F165" s="22" t="n">
        <v>95</v>
      </c>
      <c r="G165" s="23" t="n">
        <v>6.6</v>
      </c>
      <c r="H165" t="inlineStr">
        <is>
          <t>John Krasinski</t>
        </is>
      </c>
      <c r="I165" t="inlineStr">
        <is>
          <t>Estados Unidos</t>
        </is>
      </c>
      <c r="J165" t="inlineStr">
        <is>
          <t>Terror, Ciencia ficción</t>
        </is>
      </c>
      <c r="M165" s="6" t="n"/>
      <c r="O165" s="24" t="inlineStr"/>
      <c r="Q165" s="25" t="n">
        <v>50203562</v>
      </c>
      <c r="R165" s="25" t="n">
        <v>188024361</v>
      </c>
      <c r="S165" s="25" t="n">
        <v>152928610</v>
      </c>
      <c r="T165" s="25">
        <f>IF(AND(R165="",S165=""),"",N(R165)+N(S165))</f>
        <v/>
      </c>
      <c r="U165" s="25" t="n"/>
      <c r="V165" s="26" t="inlineStr">
        <is>
          <t>IMDb</t>
        </is>
      </c>
      <c r="W165" s="26" t="inlineStr">
        <is>
          <t>FilmAffinity</t>
        </is>
      </c>
      <c r="X165" s="26" t="inlineStr">
        <is>
          <t>Letterboxd</t>
        </is>
      </c>
    </row>
    <row r="166">
      <c r="A166" t="inlineStr">
        <is>
          <t>p0165</t>
        </is>
      </c>
      <c r="B166" t="inlineStr">
        <is>
          <t>Ha Nacido una Estrella</t>
        </is>
      </c>
      <c r="C166" t="inlineStr">
        <is>
          <t>A Star Is Born</t>
        </is>
      </c>
      <c r="D166" s="4" t="n">
        <v>2018</v>
      </c>
      <c r="E166" s="4">
        <f>IF(D166="","",FLOOR(D166,10))</f>
        <v/>
      </c>
      <c r="F166" s="22" t="n">
        <v>135</v>
      </c>
      <c r="G166" s="23" t="n">
        <v>6.6</v>
      </c>
      <c r="H166" t="inlineStr">
        <is>
          <t>Bradley Cooper</t>
        </is>
      </c>
      <c r="I166" t="inlineStr">
        <is>
          <t>Estados Unidos</t>
        </is>
      </c>
      <c r="J166" t="inlineStr">
        <is>
          <t>Drama, Musical, Romance</t>
        </is>
      </c>
      <c r="M166" s="6" t="n"/>
      <c r="O166" s="24" t="inlineStr"/>
      <c r="Q166" s="25" t="n">
        <v>42908051</v>
      </c>
      <c r="R166" s="25" t="n">
        <v>215333122</v>
      </c>
      <c r="S166" s="25" t="n">
        <v>224609884</v>
      </c>
      <c r="T166" s="25">
        <f>IF(AND(R166="",S166=""),"",N(R166)+N(S166))</f>
        <v/>
      </c>
      <c r="U166" s="25" t="n"/>
      <c r="V166" s="26" t="inlineStr">
        <is>
          <t>IMDb</t>
        </is>
      </c>
      <c r="W166" s="26" t="inlineStr">
        <is>
          <t>FilmAffinity</t>
        </is>
      </c>
      <c r="X166" s="26" t="inlineStr">
        <is>
          <t>Letterboxd</t>
        </is>
      </c>
    </row>
    <row r="167">
      <c r="A167" t="inlineStr">
        <is>
          <t>p0166</t>
        </is>
      </c>
      <c r="B167" t="inlineStr">
        <is>
          <t>Infiltrado en el KKKlan</t>
        </is>
      </c>
      <c r="C167" t="inlineStr">
        <is>
          <t>BlacKkKlansman</t>
        </is>
      </c>
      <c r="D167" s="4" t="n">
        <v>2018</v>
      </c>
      <c r="E167" s="4">
        <f>IF(D167="","",FLOOR(D167,10))</f>
        <v/>
      </c>
      <c r="F167" s="22" t="n">
        <v>128</v>
      </c>
      <c r="G167" s="23" t="n">
        <v>6.4</v>
      </c>
      <c r="H167" t="inlineStr">
        <is>
          <t>Spike Lee</t>
        </is>
      </c>
      <c r="I167" t="inlineStr">
        <is>
          <t>Estados Unidos</t>
        </is>
      </c>
      <c r="J167" t="inlineStr">
        <is>
          <t>Drama, Crimen, Comedia</t>
        </is>
      </c>
      <c r="M167" s="6" t="n"/>
      <c r="O167" s="24" t="inlineStr"/>
      <c r="Q167" s="25" t="n"/>
      <c r="R167" s="25" t="n"/>
      <c r="S167" s="25" t="n"/>
      <c r="T167" s="25">
        <f>IF(AND(R167="",S167=""),"",N(R167)+N(S167))</f>
        <v/>
      </c>
      <c r="U167" s="25" t="n"/>
      <c r="V167" s="26" t="inlineStr">
        <is>
          <t>IMDb</t>
        </is>
      </c>
      <c r="W167" s="26" t="inlineStr">
        <is>
          <t>FilmAffinity</t>
        </is>
      </c>
      <c r="X167" s="26" t="inlineStr">
        <is>
          <t>Letterboxd</t>
        </is>
      </c>
    </row>
    <row r="168">
      <c r="A168" t="inlineStr">
        <is>
          <t>p0167</t>
        </is>
      </c>
      <c r="B168" t="inlineStr">
        <is>
          <t>Sicario: El Día del Soldado</t>
        </is>
      </c>
      <c r="C168" t="inlineStr">
        <is>
          <t>Sicario: Day of the Soldado</t>
        </is>
      </c>
      <c r="D168" s="4" t="n">
        <v>2018</v>
      </c>
      <c r="E168" s="4">
        <f>IF(D168="","",FLOOR(D168,10))</f>
        <v/>
      </c>
      <c r="F168" s="22" t="n">
        <v>122</v>
      </c>
      <c r="G168" s="23" t="n">
        <v>6.3</v>
      </c>
      <c r="H168" t="inlineStr">
        <is>
          <t>Stefano Sollima</t>
        </is>
      </c>
      <c r="I168" t="inlineStr">
        <is>
          <t>Estados Unidos</t>
        </is>
      </c>
      <c r="J168" t="inlineStr">
        <is>
          <t>Acción, Thriller, Crimen</t>
        </is>
      </c>
      <c r="M168" s="6" t="n"/>
      <c r="O168" s="24" t="inlineStr"/>
      <c r="Q168" s="25" t="n"/>
      <c r="R168" s="25" t="n"/>
      <c r="S168" s="25" t="n"/>
      <c r="T168" s="25">
        <f>IF(AND(R168="",S168=""),"",N(R168)+N(S168))</f>
        <v/>
      </c>
      <c r="U168" s="25" t="n"/>
      <c r="V168" s="26" t="inlineStr">
        <is>
          <t>IMDb</t>
        </is>
      </c>
      <c r="W168" s="26" t="inlineStr">
        <is>
          <t>FilmAffinity</t>
        </is>
      </c>
      <c r="X168" s="26" t="inlineStr">
        <is>
          <t>Letterboxd</t>
        </is>
      </c>
    </row>
    <row r="169">
      <c r="A169" t="inlineStr">
        <is>
          <t>p0168</t>
        </is>
      </c>
      <c r="B169" t="inlineStr">
        <is>
          <t>Creed II: La Leyenda de Rocky</t>
        </is>
      </c>
      <c r="C169" t="inlineStr">
        <is>
          <t>Creed II</t>
        </is>
      </c>
      <c r="D169" s="4" t="n">
        <v>2018</v>
      </c>
      <c r="E169" s="4">
        <f>IF(D169="","",FLOOR(D169,10))</f>
        <v/>
      </c>
      <c r="F169" s="22" t="n">
        <v>130</v>
      </c>
      <c r="G169" s="23" t="n">
        <v>6.2</v>
      </c>
      <c r="H169" t="inlineStr">
        <is>
          <t>Steven Caple JR</t>
        </is>
      </c>
      <c r="I169" t="inlineStr">
        <is>
          <t>Estados Unidos</t>
        </is>
      </c>
      <c r="J169" t="inlineStr">
        <is>
          <t>Drama</t>
        </is>
      </c>
      <c r="K169" t="inlineStr">
        <is>
          <t>Rocky / Creed</t>
        </is>
      </c>
      <c r="M169" s="6" t="n"/>
      <c r="O169" s="24" t="inlineStr"/>
      <c r="Q169" s="25" t="n"/>
      <c r="R169" s="25" t="n"/>
      <c r="S169" s="25" t="n"/>
      <c r="T169" s="25">
        <f>IF(AND(R169="",S169=""),"",N(R169)+N(S169))</f>
        <v/>
      </c>
      <c r="U169" s="25" t="n"/>
      <c r="V169" s="26" t="inlineStr">
        <is>
          <t>IMDb</t>
        </is>
      </c>
      <c r="W169" s="26" t="inlineStr">
        <is>
          <t>FilmAffinity</t>
        </is>
      </c>
      <c r="X169" s="26" t="inlineStr">
        <is>
          <t>Letterboxd</t>
        </is>
      </c>
    </row>
    <row r="170">
      <c r="A170" t="inlineStr">
        <is>
          <t>p0169</t>
        </is>
      </c>
      <c r="B170" t="inlineStr">
        <is>
          <t>Ready Player One</t>
        </is>
      </c>
      <c r="C170" t="inlineStr">
        <is>
          <t>Ready Player One</t>
        </is>
      </c>
      <c r="D170" s="4" t="n">
        <v>2018</v>
      </c>
      <c r="E170" s="4">
        <f>IF(D170="","",FLOOR(D170,10))</f>
        <v/>
      </c>
      <c r="F170" s="22" t="n">
        <v>140</v>
      </c>
      <c r="G170" s="23" t="n">
        <v>5.9</v>
      </c>
      <c r="H170" t="inlineStr">
        <is>
          <t>Steven Spielberg</t>
        </is>
      </c>
      <c r="I170" t="inlineStr">
        <is>
          <t>Estados Unidos</t>
        </is>
      </c>
      <c r="J170" t="inlineStr">
        <is>
          <t>Ciencia ficción, Aventura, Acción</t>
        </is>
      </c>
      <c r="M170" s="6" t="n"/>
      <c r="O170" s="24" t="inlineStr"/>
      <c r="Q170" s="25" t="n"/>
      <c r="R170" s="25" t="n"/>
      <c r="S170" s="25" t="n"/>
      <c r="T170" s="25">
        <f>IF(AND(R170="",S170=""),"",N(R170)+N(S170))</f>
        <v/>
      </c>
      <c r="U170" s="25" t="n"/>
      <c r="V170" s="26" t="inlineStr">
        <is>
          <t>IMDb</t>
        </is>
      </c>
      <c r="W170" s="26" t="inlineStr">
        <is>
          <t>FilmAffinity</t>
        </is>
      </c>
      <c r="X170" s="26" t="inlineStr">
        <is>
          <t>Letterboxd</t>
        </is>
      </c>
    </row>
    <row r="171">
      <c r="A171" t="inlineStr">
        <is>
          <t>p0170</t>
        </is>
      </c>
      <c r="B171" t="inlineStr">
        <is>
          <t>Verano del 84</t>
        </is>
      </c>
      <c r="C171" t="inlineStr">
        <is>
          <t>Summer of 84</t>
        </is>
      </c>
      <c r="D171" s="4" t="n">
        <v>2018</v>
      </c>
      <c r="E171" s="4">
        <f>IF(D171="","",FLOOR(D171,10))</f>
        <v/>
      </c>
      <c r="F171" s="22" t="n">
        <v>105</v>
      </c>
      <c r="G171" s="23" t="n">
        <v>5.8</v>
      </c>
      <c r="H171" t="inlineStr">
        <is>
          <t>Anouk Whissell / François Simard / Yoann-Karl Whissell</t>
        </is>
      </c>
      <c r="I171" t="inlineStr">
        <is>
          <t>Canadá</t>
        </is>
      </c>
      <c r="J171" t="inlineStr">
        <is>
          <t>Terror, Misterio</t>
        </is>
      </c>
      <c r="M171" s="6" t="n"/>
      <c r="O171" s="24" t="inlineStr"/>
      <c r="Q171" s="25" t="n"/>
      <c r="R171" s="25" t="n"/>
      <c r="S171" s="25" t="n"/>
      <c r="T171" s="25">
        <f>IF(AND(R171="",S171=""),"",N(R171)+N(S171))</f>
        <v/>
      </c>
      <c r="U171" s="25" t="n"/>
      <c r="V171" s="26" t="inlineStr">
        <is>
          <t>IMDb</t>
        </is>
      </c>
      <c r="W171" s="26" t="inlineStr">
        <is>
          <t>FilmAffinity</t>
        </is>
      </c>
      <c r="X171" s="26" t="inlineStr">
        <is>
          <t>Letterboxd</t>
        </is>
      </c>
    </row>
    <row r="172">
      <c r="A172" t="inlineStr">
        <is>
          <t>p0171</t>
        </is>
      </c>
      <c r="B172" t="inlineStr">
        <is>
          <t>Yucatán</t>
        </is>
      </c>
      <c r="C172" t="inlineStr">
        <is>
          <t>Yucatán</t>
        </is>
      </c>
      <c r="D172" s="4" t="n">
        <v>2018</v>
      </c>
      <c r="E172" s="4">
        <f>IF(D172="","",FLOOR(D172,10))</f>
        <v/>
      </c>
      <c r="F172" s="22" t="n">
        <v>130</v>
      </c>
      <c r="G172" s="23" t="n">
        <v>5.8</v>
      </c>
      <c r="H172" t="inlineStr">
        <is>
          <t>Daniel Monzón</t>
        </is>
      </c>
      <c r="I172" t="inlineStr">
        <is>
          <t>España</t>
        </is>
      </c>
      <c r="J172" t="inlineStr">
        <is>
          <t>Comedia</t>
        </is>
      </c>
      <c r="M172" s="6" t="n"/>
      <c r="O172" s="24" t="inlineStr"/>
      <c r="Q172" s="25" t="n"/>
      <c r="R172" s="25" t="n"/>
      <c r="S172" s="25" t="n"/>
      <c r="T172" s="25">
        <f>IF(AND(R172="",S172=""),"",N(R172)+N(S172))</f>
        <v/>
      </c>
      <c r="U172" s="25" t="n"/>
      <c r="V172" s="26" t="inlineStr">
        <is>
          <t>IMDb</t>
        </is>
      </c>
      <c r="W172" s="26" t="inlineStr">
        <is>
          <t>FilmAffinity</t>
        </is>
      </c>
      <c r="X172" s="26" t="inlineStr">
        <is>
          <t>Letterboxd</t>
        </is>
      </c>
    </row>
    <row r="173">
      <c r="A173" t="inlineStr">
        <is>
          <t>p0172</t>
        </is>
      </c>
      <c r="B173" t="inlineStr">
        <is>
          <t>Han Solo: una historia de Star Wars</t>
        </is>
      </c>
      <c r="C173" t="inlineStr">
        <is>
          <t>Solo: A Star Wars Story</t>
        </is>
      </c>
      <c r="D173" s="4" t="n">
        <v>2018</v>
      </c>
      <c r="E173" s="4">
        <f>IF(D173="","",FLOOR(D173,10))</f>
        <v/>
      </c>
      <c r="F173" s="22" t="n">
        <v>135</v>
      </c>
      <c r="G173" s="23" t="n">
        <v>5.8</v>
      </c>
      <c r="H173" t="inlineStr">
        <is>
          <t>Ron Howard</t>
        </is>
      </c>
      <c r="I173" t="inlineStr">
        <is>
          <t>Estados Unidos</t>
        </is>
      </c>
      <c r="J173" t="inlineStr">
        <is>
          <t>Ciencia ficción, Aventura</t>
        </is>
      </c>
      <c r="K173" t="inlineStr">
        <is>
          <t>Star Wars</t>
        </is>
      </c>
      <c r="M173" s="6" t="n"/>
      <c r="O173" s="24" t="inlineStr"/>
      <c r="Q173" s="25" t="n"/>
      <c r="R173" s="25" t="n"/>
      <c r="S173" s="25" t="n"/>
      <c r="T173" s="25">
        <f>IF(AND(R173="",S173=""),"",N(R173)+N(S173))</f>
        <v/>
      </c>
      <c r="U173" s="25" t="n"/>
      <c r="V173" s="26" t="inlineStr">
        <is>
          <t>IMDb</t>
        </is>
      </c>
      <c r="W173" s="26" t="inlineStr">
        <is>
          <t>FilmAffinity</t>
        </is>
      </c>
      <c r="X173" s="26" t="inlineStr">
        <is>
          <t>Letterboxd</t>
        </is>
      </c>
    </row>
    <row r="174">
      <c r="A174" t="inlineStr">
        <is>
          <t>p0173</t>
        </is>
      </c>
      <c r="B174" t="inlineStr">
        <is>
          <t>Black Panther</t>
        </is>
      </c>
      <c r="C174" t="inlineStr">
        <is>
          <t>Black Panther</t>
        </is>
      </c>
      <c r="D174" s="4" t="n">
        <v>2018</v>
      </c>
      <c r="E174" s="4">
        <f>IF(D174="","",FLOOR(D174,10))</f>
        <v/>
      </c>
      <c r="F174" s="22" t="n">
        <v>134</v>
      </c>
      <c r="G174" s="23" t="n">
        <v>5.7</v>
      </c>
      <c r="H174" t="inlineStr">
        <is>
          <t>Ryan Coogler</t>
        </is>
      </c>
      <c r="I174" t="inlineStr">
        <is>
          <t>Estados Unidos</t>
        </is>
      </c>
      <c r="J174" t="inlineStr">
        <is>
          <t>Superhéroes, Acción</t>
        </is>
      </c>
      <c r="K174" t="inlineStr">
        <is>
          <t>UCM</t>
        </is>
      </c>
      <c r="L174" t="inlineStr">
        <is>
          <t>Fase 3 · Saga del Infinito</t>
        </is>
      </c>
      <c r="M174" s="6" t="n"/>
      <c r="O174" s="24" t="inlineStr"/>
      <c r="Q174" s="25" t="n">
        <v>202003951</v>
      </c>
      <c r="R174" s="25" t="n">
        <v>700426566</v>
      </c>
      <c r="S174" s="25" t="n">
        <v>649499517</v>
      </c>
      <c r="T174" s="25">
        <f>IF(AND(R174="",S174=""),"",N(R174)+N(S174))</f>
        <v/>
      </c>
      <c r="U174" s="25" t="n">
        <v>200000000</v>
      </c>
      <c r="V174" s="26" t="inlineStr">
        <is>
          <t>IMDb</t>
        </is>
      </c>
      <c r="W174" s="26" t="inlineStr">
        <is>
          <t>FilmAffinity</t>
        </is>
      </c>
      <c r="X174" s="26" t="inlineStr">
        <is>
          <t>Letterboxd</t>
        </is>
      </c>
    </row>
    <row r="175">
      <c r="A175" t="inlineStr">
        <is>
          <t>p0174</t>
        </is>
      </c>
      <c r="B175" t="inlineStr">
        <is>
          <t>Venom</t>
        </is>
      </c>
      <c r="C175" t="inlineStr">
        <is>
          <t>Venom</t>
        </is>
      </c>
      <c r="D175" s="4" t="n">
        <v>2018</v>
      </c>
      <c r="E175" s="4">
        <f>IF(D175="","",FLOOR(D175,10))</f>
        <v/>
      </c>
      <c r="F175" s="22" t="n">
        <v>95</v>
      </c>
      <c r="G175" s="23" t="n">
        <v>5.3</v>
      </c>
      <c r="H175" t="inlineStr">
        <is>
          <t>Ruben Fleischer</t>
        </is>
      </c>
      <c r="I175" t="inlineStr">
        <is>
          <t>Estados Unidos</t>
        </is>
      </c>
      <c r="J175" t="inlineStr">
        <is>
          <t>Superhéroes, Acción</t>
        </is>
      </c>
      <c r="M175" s="6" t="n"/>
      <c r="O175" s="24" t="inlineStr"/>
      <c r="Q175" s="25" t="n"/>
      <c r="R175" s="25" t="n"/>
      <c r="S175" s="25" t="n"/>
      <c r="T175" s="25">
        <f>IF(AND(R175="",S175=""),"",N(R175)+N(S175))</f>
        <v/>
      </c>
      <c r="U175" s="25" t="n"/>
      <c r="V175" s="26" t="inlineStr">
        <is>
          <t>IMDb</t>
        </is>
      </c>
      <c r="W175" s="26" t="inlineStr">
        <is>
          <t>FilmAffinity</t>
        </is>
      </c>
      <c r="X175" s="26" t="inlineStr">
        <is>
          <t>Letterboxd</t>
        </is>
      </c>
    </row>
    <row r="176">
      <c r="A176" t="inlineStr">
        <is>
          <t>p0175</t>
        </is>
      </c>
      <c r="B176" t="inlineStr">
        <is>
          <t>Doble traición</t>
        </is>
      </c>
      <c r="C176" t="inlineStr">
        <is>
          <t>Backstabbing for Beginners</t>
        </is>
      </c>
      <c r="D176" s="4" t="n">
        <v>2018</v>
      </c>
      <c r="E176" s="4">
        <f>IF(D176="","",FLOOR(D176,10))</f>
        <v/>
      </c>
      <c r="F176" s="22" t="n">
        <v>108</v>
      </c>
      <c r="G176" s="23" t="n">
        <v>5.2</v>
      </c>
      <c r="H176" t="inlineStr">
        <is>
          <t>Per Fly</t>
        </is>
      </c>
      <c r="I176" t="inlineStr">
        <is>
          <t>Dinamarca</t>
        </is>
      </c>
      <c r="J176" t="inlineStr">
        <is>
          <t>Thriller, Drama</t>
        </is>
      </c>
      <c r="M176" s="6" t="n"/>
      <c r="O176" s="24" t="inlineStr"/>
      <c r="Q176" s="25" t="n"/>
      <c r="R176" s="25" t="n"/>
      <c r="S176" s="25" t="n"/>
      <c r="T176" s="25">
        <f>IF(AND(R176="",S176=""),"",N(R176)+N(S176))</f>
        <v/>
      </c>
      <c r="U176" s="25" t="n"/>
      <c r="V176" s="26" t="inlineStr">
        <is>
          <t>IMDb</t>
        </is>
      </c>
      <c r="W176" s="26" t="inlineStr">
        <is>
          <t>FilmAffinity</t>
        </is>
      </c>
      <c r="X176" s="26" t="inlineStr">
        <is>
          <t>Letterboxd</t>
        </is>
      </c>
    </row>
    <row r="177">
      <c r="A177" t="inlineStr">
        <is>
          <t>p0176</t>
        </is>
      </c>
      <c r="B177" t="inlineStr">
        <is>
          <t>Ant-Man y la Avispa</t>
        </is>
      </c>
      <c r="C177" t="inlineStr">
        <is>
          <t>Ant-Man and the Wasp</t>
        </is>
      </c>
      <c r="D177" s="4" t="n">
        <v>2018</v>
      </c>
      <c r="E177" s="4">
        <f>IF(D177="","",FLOOR(D177,10))</f>
        <v/>
      </c>
      <c r="F177" s="22" t="n">
        <v>118</v>
      </c>
      <c r="G177" s="23" t="n">
        <v>5.1</v>
      </c>
      <c r="H177" t="inlineStr">
        <is>
          <t>Peyton Reed</t>
        </is>
      </c>
      <c r="I177" t="inlineStr">
        <is>
          <t>Estados Unidos</t>
        </is>
      </c>
      <c r="J177" t="inlineStr">
        <is>
          <t>Superhéroes, Comedia</t>
        </is>
      </c>
      <c r="K177" t="inlineStr">
        <is>
          <t>UCM</t>
        </is>
      </c>
      <c r="L177" t="inlineStr">
        <is>
          <t>Fase 3 · Saga del Infinito</t>
        </is>
      </c>
      <c r="M177" s="6" t="n"/>
      <c r="O177" s="24" t="inlineStr"/>
      <c r="Q177" s="25" t="n">
        <v>75812205</v>
      </c>
      <c r="R177" s="25" t="n">
        <v>216648740</v>
      </c>
      <c r="S177" s="25" t="n">
        <v>406025399</v>
      </c>
      <c r="T177" s="25">
        <f>IF(AND(R177="",S177=""),"",N(R177)+N(S177))</f>
        <v/>
      </c>
      <c r="U177" s="25" t="n">
        <v>160000000</v>
      </c>
      <c r="V177" s="26" t="inlineStr">
        <is>
          <t>IMDb</t>
        </is>
      </c>
      <c r="W177" s="26" t="inlineStr">
        <is>
          <t>FilmAffinity</t>
        </is>
      </c>
      <c r="X177" s="26" t="inlineStr">
        <is>
          <t>Letterboxd</t>
        </is>
      </c>
    </row>
    <row r="178">
      <c r="A178" t="inlineStr">
        <is>
          <t>p0177</t>
        </is>
      </c>
      <c r="B178" t="inlineStr">
        <is>
          <t>Eliminado: Dark Web</t>
        </is>
      </c>
      <c r="C178" t="inlineStr">
        <is>
          <t>Unfriended: Dark Web</t>
        </is>
      </c>
      <c r="D178" s="4" t="n">
        <v>2018</v>
      </c>
      <c r="E178" s="4">
        <f>IF(D178="","",FLOOR(D178,10))</f>
        <v/>
      </c>
      <c r="F178" s="22" t="n">
        <v>88</v>
      </c>
      <c r="G178" s="23" t="n">
        <v>4.9</v>
      </c>
      <c r="H178" t="inlineStr">
        <is>
          <t>Stephen Susco</t>
        </is>
      </c>
      <c r="I178" t="inlineStr">
        <is>
          <t>Estados Unidos</t>
        </is>
      </c>
      <c r="J178" t="inlineStr">
        <is>
          <t>Terror, Thriller</t>
        </is>
      </c>
      <c r="M178" s="6" t="n"/>
      <c r="O178" s="24" t="inlineStr"/>
      <c r="Q178" s="25" t="n"/>
      <c r="R178" s="25" t="n"/>
      <c r="S178" s="25" t="n"/>
      <c r="T178" s="25">
        <f>IF(AND(R178="",S178=""),"",N(R178)+N(S178))</f>
        <v/>
      </c>
      <c r="U178" s="25" t="n"/>
      <c r="V178" s="26" t="inlineStr">
        <is>
          <t>IMDb</t>
        </is>
      </c>
      <c r="W178" s="26" t="inlineStr">
        <is>
          <t>FilmAffinity</t>
        </is>
      </c>
      <c r="X178" s="26" t="inlineStr">
        <is>
          <t>Letterboxd</t>
        </is>
      </c>
    </row>
    <row r="179">
      <c r="A179" t="inlineStr">
        <is>
          <t>p0178</t>
        </is>
      </c>
      <c r="B179" t="inlineStr">
        <is>
          <t>Verdad o Reto</t>
        </is>
      </c>
      <c r="C179" t="inlineStr">
        <is>
          <t>Truth or Dare</t>
        </is>
      </c>
      <c r="D179" s="4" t="n">
        <v>2018</v>
      </c>
      <c r="E179" s="4">
        <f>IF(D179="","",FLOOR(D179,10))</f>
        <v/>
      </c>
      <c r="F179" s="22" t="n">
        <v>100</v>
      </c>
      <c r="G179" s="23" t="n">
        <v>4.8</v>
      </c>
      <c r="H179" t="inlineStr">
        <is>
          <t>Jeff Wadlow</t>
        </is>
      </c>
      <c r="I179" t="inlineStr">
        <is>
          <t>Estados Unidos</t>
        </is>
      </c>
      <c r="J179" t="inlineStr">
        <is>
          <t>Terror</t>
        </is>
      </c>
      <c r="M179" s="6" t="n"/>
      <c r="O179" s="24" t="inlineStr"/>
      <c r="Q179" s="25" t="n"/>
      <c r="R179" s="25" t="n"/>
      <c r="S179" s="25" t="n"/>
      <c r="T179" s="25">
        <f>IF(AND(R179="",S179=""),"",N(R179)+N(S179))</f>
        <v/>
      </c>
      <c r="U179" s="25" t="n"/>
      <c r="V179" s="26" t="inlineStr">
        <is>
          <t>IMDb</t>
        </is>
      </c>
      <c r="W179" s="26" t="inlineStr">
        <is>
          <t>FilmAffinity</t>
        </is>
      </c>
      <c r="X179" s="26" t="inlineStr">
        <is>
          <t>Letterboxd</t>
        </is>
      </c>
    </row>
    <row r="180">
      <c r="A180" t="inlineStr">
        <is>
          <t>p0179</t>
        </is>
      </c>
      <c r="B180" t="inlineStr">
        <is>
          <t>Cadáver</t>
        </is>
      </c>
      <c r="C180" t="inlineStr">
        <is>
          <t>The Possession of Hannah Grace</t>
        </is>
      </c>
      <c r="D180" s="4" t="n">
        <v>2018</v>
      </c>
      <c r="E180" s="4">
        <f>IF(D180="","",FLOOR(D180,10))</f>
        <v/>
      </c>
      <c r="F180" s="22" t="n">
        <v>85</v>
      </c>
      <c r="G180" s="23" t="n">
        <v>4.7</v>
      </c>
      <c r="H180" t="inlineStr">
        <is>
          <t>Diederik van Rooijen</t>
        </is>
      </c>
      <c r="I180" t="inlineStr">
        <is>
          <t>Estados Unidos</t>
        </is>
      </c>
      <c r="J180" t="inlineStr">
        <is>
          <t>Terror</t>
        </is>
      </c>
      <c r="M180" s="6" t="n"/>
      <c r="O180" s="24" t="inlineStr"/>
      <c r="Q180" s="25" t="n"/>
      <c r="R180" s="25" t="n"/>
      <c r="S180" s="25" t="n"/>
      <c r="T180" s="25">
        <f>IF(AND(R180="",S180=""),"",N(R180)+N(S180))</f>
        <v/>
      </c>
      <c r="U180" s="25" t="n"/>
      <c r="V180" s="26" t="inlineStr">
        <is>
          <t>IMDb</t>
        </is>
      </c>
      <c r="W180" s="26" t="inlineStr">
        <is>
          <t>FilmAffinity</t>
        </is>
      </c>
      <c r="X180" s="26" t="inlineStr">
        <is>
          <t>Letterboxd</t>
        </is>
      </c>
    </row>
    <row r="181">
      <c r="A181" t="inlineStr">
        <is>
          <t>p0180</t>
        </is>
      </c>
      <c r="B181" t="inlineStr">
        <is>
          <t>La Primera Purga: La Noche de las Bestias</t>
        </is>
      </c>
      <c r="C181" t="inlineStr">
        <is>
          <t>The First Purge</t>
        </is>
      </c>
      <c r="D181" s="4" t="n">
        <v>2018</v>
      </c>
      <c r="E181" s="4">
        <f>IF(D181="","",FLOOR(D181,10))</f>
        <v/>
      </c>
      <c r="F181" s="22" t="n">
        <v>97</v>
      </c>
      <c r="G181" s="23" t="n">
        <v>4.5</v>
      </c>
      <c r="H181" t="inlineStr">
        <is>
          <t>Gerard McMurray</t>
        </is>
      </c>
      <c r="I181" t="inlineStr">
        <is>
          <t>Estados Unidos</t>
        </is>
      </c>
      <c r="J181" t="inlineStr">
        <is>
          <t>Terror, Acción</t>
        </is>
      </c>
      <c r="K181" t="inlineStr">
        <is>
          <t>La Purga</t>
        </is>
      </c>
      <c r="M181" s="6" t="n"/>
      <c r="O181" s="24" t="inlineStr"/>
      <c r="Q181" s="25" t="n"/>
      <c r="R181" s="25" t="n"/>
      <c r="S181" s="25" t="n"/>
      <c r="T181" s="25">
        <f>IF(AND(R181="",S181=""),"",N(R181)+N(S181))</f>
        <v/>
      </c>
      <c r="U181" s="25" t="n"/>
      <c r="V181" s="26" t="inlineStr">
        <is>
          <t>IMDb</t>
        </is>
      </c>
      <c r="W181" s="26" t="inlineStr">
        <is>
          <t>FilmAffinity</t>
        </is>
      </c>
      <c r="X181" s="26" t="inlineStr">
        <is>
          <t>Letterboxd</t>
        </is>
      </c>
    </row>
    <row r="182">
      <c r="A182" t="inlineStr">
        <is>
          <t>p0181</t>
        </is>
      </c>
      <c r="B182" t="inlineStr">
        <is>
          <t>La Noche de Halloween</t>
        </is>
      </c>
      <c r="C182" t="inlineStr">
        <is>
          <t>Halloween</t>
        </is>
      </c>
      <c r="D182" s="4" t="n">
        <v>2018</v>
      </c>
      <c r="E182" s="4">
        <f>IF(D182="","",FLOOR(D182,10))</f>
        <v/>
      </c>
      <c r="F182" s="22" t="n">
        <v>109</v>
      </c>
      <c r="G182" s="23" t="n">
        <v>4.3</v>
      </c>
      <c r="H182" t="inlineStr">
        <is>
          <t>David Gordon Green</t>
        </is>
      </c>
      <c r="I182" t="inlineStr">
        <is>
          <t>Estados Unidos</t>
        </is>
      </c>
      <c r="J182" t="inlineStr">
        <is>
          <t>Terror</t>
        </is>
      </c>
      <c r="M182" s="6" t="n"/>
      <c r="O182" s="24" t="inlineStr"/>
      <c r="Q182" s="25" t="n"/>
      <c r="R182" s="25" t="n"/>
      <c r="S182" s="25" t="n"/>
      <c r="T182" s="25">
        <f>IF(AND(R182="",S182=""),"",N(R182)+N(S182))</f>
        <v/>
      </c>
      <c r="U182" s="25" t="n"/>
      <c r="V182" s="26" t="inlineStr">
        <is>
          <t>IMDb</t>
        </is>
      </c>
      <c r="W182" s="26" t="inlineStr">
        <is>
          <t>FilmAffinity</t>
        </is>
      </c>
      <c r="X182" s="26" t="inlineStr">
        <is>
          <t>Letterboxd</t>
        </is>
      </c>
    </row>
    <row r="183">
      <c r="A183" t="inlineStr">
        <is>
          <t>p0182</t>
        </is>
      </c>
      <c r="B183" t="inlineStr">
        <is>
          <t>¿Quién Está Matando a los Muñecos?</t>
        </is>
      </c>
      <c r="C183" t="inlineStr">
        <is>
          <t>The Happytime Murders</t>
        </is>
      </c>
      <c r="D183" s="4" t="n">
        <v>2018</v>
      </c>
      <c r="E183" s="4">
        <f>IF(D183="","",FLOOR(D183,10))</f>
        <v/>
      </c>
      <c r="F183" s="22" t="n">
        <v>91</v>
      </c>
      <c r="G183" s="23" t="n">
        <v>4.3</v>
      </c>
      <c r="H183" t="inlineStr">
        <is>
          <t>Brian Henson</t>
        </is>
      </c>
      <c r="I183" t="inlineStr">
        <is>
          <t>Estados Unidos</t>
        </is>
      </c>
      <c r="J183" t="inlineStr">
        <is>
          <t>Comedia, Crimen</t>
        </is>
      </c>
      <c r="M183" s="6" t="n"/>
      <c r="O183" s="24" t="inlineStr"/>
      <c r="Q183" s="25" t="n"/>
      <c r="R183" s="25" t="n"/>
      <c r="S183" s="25" t="n"/>
      <c r="T183" s="25">
        <f>IF(AND(R183="",S183=""),"",N(R183)+N(S183))</f>
        <v/>
      </c>
      <c r="U183" s="25" t="n"/>
      <c r="V183" s="26" t="inlineStr">
        <is>
          <t>IMDb</t>
        </is>
      </c>
      <c r="W183" s="26" t="inlineStr">
        <is>
          <t>FilmAffinity</t>
        </is>
      </c>
      <c r="X183" s="26" t="inlineStr">
        <is>
          <t>Letterboxd</t>
        </is>
      </c>
    </row>
    <row r="184">
      <c r="A184" t="inlineStr">
        <is>
          <t>p0183</t>
        </is>
      </c>
      <c r="B184" t="inlineStr">
        <is>
          <t>El mejor verano de mi vida</t>
        </is>
      </c>
      <c r="C184" t="inlineStr">
        <is>
          <t>El mejor verano de mi vida</t>
        </is>
      </c>
      <c r="D184" s="4" t="n">
        <v>2018</v>
      </c>
      <c r="E184" s="4">
        <f>IF(D184="","",FLOOR(D184,10))</f>
        <v/>
      </c>
      <c r="F184" s="22" t="n">
        <v>90</v>
      </c>
      <c r="G184" s="23" t="n">
        <v>4.2</v>
      </c>
      <c r="H184" t="inlineStr">
        <is>
          <t>Dani de la Orden</t>
        </is>
      </c>
      <c r="I184" t="inlineStr">
        <is>
          <t>España</t>
        </is>
      </c>
      <c r="J184" t="inlineStr">
        <is>
          <t>Comedia, Familiar</t>
        </is>
      </c>
      <c r="M184" s="6" t="n"/>
      <c r="O184" s="24" t="inlineStr"/>
      <c r="Q184" s="25" t="n"/>
      <c r="R184" s="25" t="n"/>
      <c r="S184" s="25" t="n"/>
      <c r="T184" s="25">
        <f>IF(AND(R184="",S184=""),"",N(R184)+N(S184))</f>
        <v/>
      </c>
      <c r="U184" s="25" t="n"/>
      <c r="V184" s="26" t="inlineStr">
        <is>
          <t>IMDb</t>
        </is>
      </c>
      <c r="W184" s="26" t="inlineStr">
        <is>
          <t>FilmAffinity</t>
        </is>
      </c>
      <c r="X184" s="26" t="inlineStr">
        <is>
          <t>Letterboxd</t>
        </is>
      </c>
    </row>
    <row r="185">
      <c r="A185" t="inlineStr">
        <is>
          <t>p0184</t>
        </is>
      </c>
      <c r="B185" t="inlineStr">
        <is>
          <t>Insidious: La Última Llave</t>
        </is>
      </c>
      <c r="C185" t="inlineStr">
        <is>
          <t>Insidious: The Last Key</t>
        </is>
      </c>
      <c r="D185" s="4" t="n">
        <v>2018</v>
      </c>
      <c r="E185" s="4">
        <f>IF(D185="","",FLOOR(D185,10))</f>
        <v/>
      </c>
      <c r="F185" s="22" t="n">
        <v>103</v>
      </c>
      <c r="G185" s="23" t="n">
        <v>4.1</v>
      </c>
      <c r="H185" t="inlineStr">
        <is>
          <t>Adam Robitel</t>
        </is>
      </c>
      <c r="I185" t="inlineStr">
        <is>
          <t>Estados Unidos</t>
        </is>
      </c>
      <c r="J185" t="inlineStr">
        <is>
          <t>Terror</t>
        </is>
      </c>
      <c r="K185" t="inlineStr">
        <is>
          <t>Insidious</t>
        </is>
      </c>
      <c r="M185" s="6" t="n"/>
      <c r="O185" s="24" t="inlineStr"/>
      <c r="Q185" s="25" t="n"/>
      <c r="R185" s="25" t="n"/>
      <c r="S185" s="25" t="n"/>
      <c r="T185" s="25">
        <f>IF(AND(R185="",S185=""),"",N(R185)+N(S185))</f>
        <v/>
      </c>
      <c r="U185" s="25" t="n"/>
      <c r="V185" s="26" t="inlineStr">
        <is>
          <t>IMDb</t>
        </is>
      </c>
      <c r="W185" s="26" t="inlineStr">
        <is>
          <t>FilmAffinity</t>
        </is>
      </c>
      <c r="X185" s="26" t="inlineStr">
        <is>
          <t>Letterboxd</t>
        </is>
      </c>
    </row>
    <row r="186">
      <c r="A186" t="inlineStr">
        <is>
          <t>p0185</t>
        </is>
      </c>
      <c r="B186" t="inlineStr">
        <is>
          <t>La monja</t>
        </is>
      </c>
      <c r="C186" t="inlineStr">
        <is>
          <t>The Nun</t>
        </is>
      </c>
      <c r="D186" s="4" t="n">
        <v>2018</v>
      </c>
      <c r="E186" s="4">
        <f>IF(D186="","",FLOOR(D186,10))</f>
        <v/>
      </c>
      <c r="F186" s="22" t="n">
        <v>96</v>
      </c>
      <c r="G186" s="23" t="n">
        <v>4</v>
      </c>
      <c r="H186" t="inlineStr">
        <is>
          <t>Corin Hardy</t>
        </is>
      </c>
      <c r="I186" t="inlineStr">
        <is>
          <t>Estados Unidos</t>
        </is>
      </c>
      <c r="J186" t="inlineStr">
        <is>
          <t>Terror</t>
        </is>
      </c>
      <c r="K186" t="inlineStr">
        <is>
          <t>Universo Expediente Warren</t>
        </is>
      </c>
      <c r="M186" s="6" t="n"/>
      <c r="O186" s="24" t="inlineStr"/>
      <c r="Q186" s="25" t="n"/>
      <c r="R186" s="25" t="n"/>
      <c r="S186" s="25" t="n"/>
      <c r="T186" s="25">
        <f>IF(AND(R186="",S186=""),"",N(R186)+N(S186))</f>
        <v/>
      </c>
      <c r="U186" s="25" t="n"/>
      <c r="V186" s="26" t="inlineStr">
        <is>
          <t>IMDb</t>
        </is>
      </c>
      <c r="W186" s="26" t="inlineStr">
        <is>
          <t>FilmAffinity</t>
        </is>
      </c>
      <c r="X186" s="26" t="inlineStr">
        <is>
          <t>Letterboxd</t>
        </is>
      </c>
    </row>
    <row r="187">
      <c r="A187" t="inlineStr">
        <is>
          <t>p0186</t>
        </is>
      </c>
      <c r="B187" t="inlineStr">
        <is>
          <t>Megalodón</t>
        </is>
      </c>
      <c r="C187" t="inlineStr">
        <is>
          <t>The Meg</t>
        </is>
      </c>
      <c r="D187" s="4" t="n">
        <v>2018</v>
      </c>
      <c r="E187" s="4">
        <f>IF(D187="","",FLOOR(D187,10))</f>
        <v/>
      </c>
      <c r="F187" s="22" t="n">
        <v>113</v>
      </c>
      <c r="G187" s="23" t="n">
        <v>3.9</v>
      </c>
      <c r="H187" t="inlineStr">
        <is>
          <t>Jon Turteltaub</t>
        </is>
      </c>
      <c r="I187" t="inlineStr">
        <is>
          <t>Estados Unidos</t>
        </is>
      </c>
      <c r="J187" t="inlineStr">
        <is>
          <t>Acción, Ciencia ficción, Terror</t>
        </is>
      </c>
      <c r="M187" s="6" t="n"/>
      <c r="O187" s="24" t="inlineStr"/>
      <c r="Q187" s="25" t="n"/>
      <c r="R187" s="25" t="n"/>
      <c r="S187" s="25" t="n"/>
      <c r="T187" s="25">
        <f>IF(AND(R187="",S187=""),"",N(R187)+N(S187))</f>
        <v/>
      </c>
      <c r="U187" s="25" t="n"/>
      <c r="V187" s="26" t="inlineStr">
        <is>
          <t>IMDb</t>
        </is>
      </c>
      <c r="W187" s="26" t="inlineStr">
        <is>
          <t>FilmAffinity</t>
        </is>
      </c>
      <c r="X187" s="26" t="inlineStr">
        <is>
          <t>Letterboxd</t>
        </is>
      </c>
    </row>
    <row r="188">
      <c r="A188" t="inlineStr">
        <is>
          <t>p0187</t>
        </is>
      </c>
      <c r="B188" t="inlineStr">
        <is>
          <t>Hacerse mayor y otros problemas</t>
        </is>
      </c>
      <c r="C188" t="inlineStr">
        <is>
          <t>Hacerse mayor y otros problemas</t>
        </is>
      </c>
      <c r="D188" s="4" t="n">
        <v>2018</v>
      </c>
      <c r="E188" s="4">
        <f>IF(D188="","",FLOOR(D188,10))</f>
        <v/>
      </c>
      <c r="F188" s="22" t="n">
        <v>96</v>
      </c>
      <c r="G188" s="23" t="n">
        <v>0</v>
      </c>
      <c r="H188" t="inlineStr">
        <is>
          <t>Clara Martínez-Lázaro</t>
        </is>
      </c>
      <c r="I188" t="inlineStr">
        <is>
          <t>España</t>
        </is>
      </c>
      <c r="J188" t="inlineStr">
        <is>
          <t>Comedia, Drama</t>
        </is>
      </c>
      <c r="M188" s="6" t="n"/>
      <c r="O188" s="24" t="inlineStr"/>
      <c r="Q188" s="25" t="n"/>
      <c r="R188" s="25" t="n"/>
      <c r="S188" s="25" t="n"/>
      <c r="T188" s="25">
        <f>IF(AND(R188="",S188=""),"",N(R188)+N(S188))</f>
        <v/>
      </c>
      <c r="U188" s="25" t="n"/>
      <c r="V188" s="26" t="inlineStr">
        <is>
          <t>IMDb</t>
        </is>
      </c>
      <c r="W188" s="26" t="inlineStr">
        <is>
          <t>FilmAffinity</t>
        </is>
      </c>
      <c r="X188" s="26" t="inlineStr">
        <is>
          <t>Letterboxd</t>
        </is>
      </c>
    </row>
    <row r="189">
      <c r="A189" t="inlineStr">
        <is>
          <t>p0188</t>
        </is>
      </c>
      <c r="B189" t="inlineStr">
        <is>
          <t>Blade Runner 2049</t>
        </is>
      </c>
      <c r="C189" t="inlineStr">
        <is>
          <t>Blade Runner 2049</t>
        </is>
      </c>
      <c r="D189" s="4" t="n">
        <v>2017</v>
      </c>
      <c r="E189" s="4">
        <f>IF(D189="","",FLOOR(D189,10))</f>
        <v/>
      </c>
      <c r="F189" s="22" t="n">
        <v>163</v>
      </c>
      <c r="G189" s="23" t="n">
        <v>8</v>
      </c>
      <c r="H189" t="inlineStr">
        <is>
          <t>Denis Villeneuve</t>
        </is>
      </c>
      <c r="I189" t="inlineStr">
        <is>
          <t>Estados Unidos</t>
        </is>
      </c>
      <c r="J189" t="inlineStr">
        <is>
          <t>Ciencia ficción, Drama</t>
        </is>
      </c>
      <c r="K189" t="inlineStr">
        <is>
          <t>Blade Runner</t>
        </is>
      </c>
      <c r="M189" s="6" t="n"/>
      <c r="O189" s="24" t="inlineStr"/>
      <c r="Q189" s="25" t="n"/>
      <c r="R189" s="25" t="n"/>
      <c r="S189" s="25" t="n"/>
      <c r="T189" s="25">
        <f>IF(AND(R189="",S189=""),"",N(R189)+N(S189))</f>
        <v/>
      </c>
      <c r="U189" s="25" t="n"/>
      <c r="V189" s="26" t="inlineStr">
        <is>
          <t>IMDb</t>
        </is>
      </c>
      <c r="W189" s="26" t="inlineStr">
        <is>
          <t>FilmAffinity</t>
        </is>
      </c>
      <c r="X189" s="26" t="inlineStr">
        <is>
          <t>Letterboxd</t>
        </is>
      </c>
    </row>
    <row r="190">
      <c r="A190" t="inlineStr">
        <is>
          <t>p0189</t>
        </is>
      </c>
      <c r="B190" t="inlineStr">
        <is>
          <t>Loving Vincent</t>
        </is>
      </c>
      <c r="C190" t="inlineStr">
        <is>
          <t>Loving Vincent</t>
        </is>
      </c>
      <c r="D190" s="4" t="n">
        <v>2017</v>
      </c>
      <c r="E190" s="4">
        <f>IF(D190="","",FLOOR(D190,10))</f>
        <v/>
      </c>
      <c r="F190" s="22" t="n">
        <v>95</v>
      </c>
      <c r="G190" s="23" t="n">
        <v>7.9</v>
      </c>
      <c r="H190" t="inlineStr">
        <is>
          <t>Dorota Kobiela / Hugh Welchman</t>
        </is>
      </c>
      <c r="I190" t="inlineStr">
        <is>
          <t>Polonia</t>
        </is>
      </c>
      <c r="J190" t="inlineStr">
        <is>
          <t>Animación, Biográfico, Drama</t>
        </is>
      </c>
      <c r="M190" s="6" t="n"/>
      <c r="O190" s="24" t="inlineStr"/>
      <c r="Q190" s="25" t="n"/>
      <c r="R190" s="25" t="n"/>
      <c r="S190" s="25" t="n"/>
      <c r="T190" s="25">
        <f>IF(AND(R190="",S190=""),"",N(R190)+N(S190))</f>
        <v/>
      </c>
      <c r="U190" s="25" t="n"/>
      <c r="V190" s="26" t="inlineStr">
        <is>
          <t>IMDb</t>
        </is>
      </c>
      <c r="W190" s="26" t="inlineStr">
        <is>
          <t>FilmAffinity</t>
        </is>
      </c>
      <c r="X190" s="26" t="inlineStr">
        <is>
          <t>Letterboxd</t>
        </is>
      </c>
    </row>
    <row r="191">
      <c r="A191" t="inlineStr">
        <is>
          <t>p0190</t>
        </is>
      </c>
      <c r="B191" t="inlineStr">
        <is>
          <t>It</t>
        </is>
      </c>
      <c r="C191" t="inlineStr">
        <is>
          <t>It</t>
        </is>
      </c>
      <c r="D191" s="4" t="n">
        <v>2017</v>
      </c>
      <c r="E191" s="4">
        <f>IF(D191="","",FLOOR(D191,10))</f>
        <v/>
      </c>
      <c r="F191" s="22" t="n">
        <v>135</v>
      </c>
      <c r="G191" s="23" t="n">
        <v>7.8</v>
      </c>
      <c r="H191" t="inlineStr">
        <is>
          <t>Andy Muschietti</t>
        </is>
      </c>
      <c r="I191" t="inlineStr">
        <is>
          <t>Estados Unidos</t>
        </is>
      </c>
      <c r="J191" t="inlineStr">
        <is>
          <t>Terror</t>
        </is>
      </c>
      <c r="K191" t="inlineStr">
        <is>
          <t>It</t>
        </is>
      </c>
      <c r="M191" s="6" t="n"/>
      <c r="O191" s="24" t="inlineStr"/>
      <c r="Q191" s="25" t="n"/>
      <c r="R191" s="25" t="n"/>
      <c r="S191" s="25" t="n"/>
      <c r="T191" s="25">
        <f>IF(AND(R191="",S191=""),"",N(R191)+N(S191))</f>
        <v/>
      </c>
      <c r="U191" s="25" t="n"/>
      <c r="V191" s="26" t="inlineStr">
        <is>
          <t>IMDb</t>
        </is>
      </c>
      <c r="W191" s="26" t="inlineStr">
        <is>
          <t>FilmAffinity</t>
        </is>
      </c>
      <c r="X191" s="26" t="inlineStr">
        <is>
          <t>Letterboxd</t>
        </is>
      </c>
    </row>
    <row r="192">
      <c r="A192" t="inlineStr">
        <is>
          <t>p0191</t>
        </is>
      </c>
      <c r="B192" t="inlineStr">
        <is>
          <t>Déjame Salir</t>
        </is>
      </c>
      <c r="C192" t="inlineStr">
        <is>
          <t>Get Out</t>
        </is>
      </c>
      <c r="D192" s="4" t="n">
        <v>2017</v>
      </c>
      <c r="E192" s="4">
        <f>IF(D192="","",FLOOR(D192,10))</f>
        <v/>
      </c>
      <c r="F192" s="22" t="n">
        <v>103</v>
      </c>
      <c r="G192" s="23" t="n">
        <v>7.8</v>
      </c>
      <c r="H192" t="inlineStr">
        <is>
          <t>Jordan Peele</t>
        </is>
      </c>
      <c r="I192" t="inlineStr">
        <is>
          <t>Estados Unidos</t>
        </is>
      </c>
      <c r="J192" t="inlineStr">
        <is>
          <t>Terror, Thriller</t>
        </is>
      </c>
      <c r="M192" s="6" t="n"/>
      <c r="O192" s="24" t="inlineStr"/>
      <c r="Q192" s="25" t="n"/>
      <c r="R192" s="25" t="n"/>
      <c r="S192" s="25" t="n"/>
      <c r="T192" s="25">
        <f>IF(AND(R192="",S192=""),"",N(R192)+N(S192))</f>
        <v/>
      </c>
      <c r="U192" s="25" t="n"/>
      <c r="V192" s="26" t="inlineStr">
        <is>
          <t>IMDb</t>
        </is>
      </c>
      <c r="W192" s="26" t="inlineStr">
        <is>
          <t>FilmAffinity</t>
        </is>
      </c>
      <c r="X192" s="26" t="inlineStr">
        <is>
          <t>Letterboxd</t>
        </is>
      </c>
    </row>
    <row r="193">
      <c r="A193" t="inlineStr">
        <is>
          <t>p0192</t>
        </is>
      </c>
      <c r="B193" t="inlineStr">
        <is>
          <t>El Secreto de Marrowbone</t>
        </is>
      </c>
      <c r="C193" t="inlineStr">
        <is>
          <t>Marrowbone</t>
        </is>
      </c>
      <c r="D193" s="4" t="n">
        <v>2017</v>
      </c>
      <c r="E193" s="4">
        <f>IF(D193="","",FLOOR(D193,10))</f>
        <v/>
      </c>
      <c r="F193" s="22" t="n">
        <v>109</v>
      </c>
      <c r="G193" s="23" t="n">
        <v>7.8</v>
      </c>
      <c r="H193" t="inlineStr">
        <is>
          <t>Sergio G. Sánchez</t>
        </is>
      </c>
      <c r="I193" t="inlineStr">
        <is>
          <t>España</t>
        </is>
      </c>
      <c r="J193" t="inlineStr">
        <is>
          <t>Terror, Drama, Misterio</t>
        </is>
      </c>
      <c r="M193" s="6" t="n"/>
      <c r="O193" s="24" t="inlineStr"/>
      <c r="Q193" s="25" t="n"/>
      <c r="R193" s="25" t="n"/>
      <c r="S193" s="25" t="n"/>
      <c r="T193" s="25">
        <f>IF(AND(R193="",S193=""),"",N(R193)+N(S193))</f>
        <v/>
      </c>
      <c r="U193" s="25" t="n"/>
      <c r="V193" s="26" t="inlineStr">
        <is>
          <t>IMDb</t>
        </is>
      </c>
      <c r="W193" s="26" t="inlineStr">
        <is>
          <t>FilmAffinity</t>
        </is>
      </c>
      <c r="X193" s="26" t="inlineStr">
        <is>
          <t>Letterboxd</t>
        </is>
      </c>
    </row>
    <row r="194">
      <c r="A194" t="inlineStr">
        <is>
          <t>p0193</t>
        </is>
      </c>
      <c r="B194" t="inlineStr">
        <is>
          <t>Dunkerque</t>
        </is>
      </c>
      <c r="C194" t="inlineStr">
        <is>
          <t>Dunkirk</t>
        </is>
      </c>
      <c r="D194" s="4" t="n">
        <v>2017</v>
      </c>
      <c r="E194" s="4">
        <f>IF(D194="","",FLOOR(D194,10))</f>
        <v/>
      </c>
      <c r="F194" s="22" t="n">
        <v>107</v>
      </c>
      <c r="G194" s="23" t="n">
        <v>7.7</v>
      </c>
      <c r="H194" t="inlineStr">
        <is>
          <t>Christopher Nolan</t>
        </is>
      </c>
      <c r="I194" t="inlineStr">
        <is>
          <t>Reino Unido</t>
        </is>
      </c>
      <c r="J194" t="inlineStr">
        <is>
          <t>Bélico, Histórico, Acción</t>
        </is>
      </c>
      <c r="M194" s="6" t="n"/>
      <c r="O194" s="24" t="inlineStr"/>
      <c r="Q194" s="25" t="n"/>
      <c r="R194" s="25" t="n"/>
      <c r="S194" s="25" t="n"/>
      <c r="T194" s="25">
        <f>IF(AND(R194="",S194=""),"",N(R194)+N(S194))</f>
        <v/>
      </c>
      <c r="U194" s="25" t="n"/>
      <c r="V194" s="26" t="inlineStr">
        <is>
          <t>IMDb</t>
        </is>
      </c>
      <c r="W194" s="26" t="inlineStr">
        <is>
          <t>FilmAffinity</t>
        </is>
      </c>
      <c r="X194" s="26" t="inlineStr">
        <is>
          <t>Letterboxd</t>
        </is>
      </c>
    </row>
    <row r="195">
      <c r="A195" t="inlineStr">
        <is>
          <t>p0194</t>
        </is>
      </c>
      <c r="B195" t="inlineStr">
        <is>
          <t>El Instante Más Oscuro</t>
        </is>
      </c>
      <c r="C195" t="inlineStr">
        <is>
          <t>Darkest Hour</t>
        </is>
      </c>
      <c r="D195" s="4" t="n">
        <v>2017</v>
      </c>
      <c r="E195" s="4">
        <f>IF(D195="","",FLOOR(D195,10))</f>
        <v/>
      </c>
      <c r="F195" s="22" t="n">
        <v>125</v>
      </c>
      <c r="G195" s="23" t="n">
        <v>7.6</v>
      </c>
      <c r="H195" t="inlineStr">
        <is>
          <t>Joe Wright</t>
        </is>
      </c>
      <c r="I195" t="inlineStr">
        <is>
          <t>Reino Unido</t>
        </is>
      </c>
      <c r="J195" t="inlineStr">
        <is>
          <t>Biográfico, Histórico, Drama</t>
        </is>
      </c>
      <c r="M195" s="6" t="n"/>
      <c r="O195" s="24" t="inlineStr"/>
      <c r="Q195" s="25" t="n"/>
      <c r="R195" s="25" t="n"/>
      <c r="S195" s="25" t="n"/>
      <c r="T195" s="25">
        <f>IF(AND(R195="",S195=""),"",N(R195)+N(S195))</f>
        <v/>
      </c>
      <c r="U195" s="25" t="n"/>
      <c r="V195" s="26" t="inlineStr">
        <is>
          <t>IMDb</t>
        </is>
      </c>
      <c r="W195" s="26" t="inlineStr">
        <is>
          <t>FilmAffinity</t>
        </is>
      </c>
      <c r="X195" s="26" t="inlineStr">
        <is>
          <t>Letterboxd</t>
        </is>
      </c>
    </row>
    <row r="196">
      <c r="A196" t="inlineStr">
        <is>
          <t>p0195</t>
        </is>
      </c>
      <c r="B196" t="inlineStr">
        <is>
          <t>Coco</t>
        </is>
      </c>
      <c r="C196" t="inlineStr">
        <is>
          <t>Coco</t>
        </is>
      </c>
      <c r="D196" s="4" t="n">
        <v>2017</v>
      </c>
      <c r="E196" s="4">
        <f>IF(D196="","",FLOOR(D196,10))</f>
        <v/>
      </c>
      <c r="F196" s="22" t="n">
        <v>109</v>
      </c>
      <c r="G196" s="23" t="n">
        <v>7.4</v>
      </c>
      <c r="H196" t="inlineStr">
        <is>
          <t>Lee Unkrich / Adrián Molina</t>
        </is>
      </c>
      <c r="I196" t="inlineStr">
        <is>
          <t>Estados Unidos</t>
        </is>
      </c>
      <c r="J196" t="inlineStr">
        <is>
          <t>Animación, Familiar, Musical</t>
        </is>
      </c>
      <c r="M196" s="6" t="n"/>
      <c r="O196" s="24" t="inlineStr"/>
      <c r="Q196" s="25" t="n"/>
      <c r="R196" s="25" t="n"/>
      <c r="S196" s="25" t="n"/>
      <c r="T196" s="25">
        <f>IF(AND(R196="",S196=""),"",N(R196)+N(S196))</f>
        <v/>
      </c>
      <c r="U196" s="25" t="n"/>
      <c r="V196" s="26" t="inlineStr">
        <is>
          <t>IMDb</t>
        </is>
      </c>
      <c r="W196" s="26" t="inlineStr">
        <is>
          <t>FilmAffinity</t>
        </is>
      </c>
      <c r="X196" s="26" t="inlineStr">
        <is>
          <t>Letterboxd</t>
        </is>
      </c>
    </row>
    <row r="197">
      <c r="A197" t="inlineStr">
        <is>
          <t>p0196</t>
        </is>
      </c>
      <c r="B197" t="inlineStr">
        <is>
          <t>El Gran Showman</t>
        </is>
      </c>
      <c r="C197" t="inlineStr">
        <is>
          <t>The Greatest Showman</t>
        </is>
      </c>
      <c r="D197" s="4" t="n">
        <v>2017</v>
      </c>
      <c r="E197" s="4">
        <f>IF(D197="","",FLOOR(D197,10))</f>
        <v/>
      </c>
      <c r="F197" s="22" t="n">
        <v>105</v>
      </c>
      <c r="G197" s="23" t="n">
        <v>7.3</v>
      </c>
      <c r="H197" t="inlineStr">
        <is>
          <t>Michael Gracey</t>
        </is>
      </c>
      <c r="I197" t="inlineStr">
        <is>
          <t>Estados Unidos</t>
        </is>
      </c>
      <c r="J197" t="inlineStr">
        <is>
          <t>Musical, Biográfico, Drama</t>
        </is>
      </c>
      <c r="M197" s="6" t="n"/>
      <c r="O197" s="24" t="inlineStr"/>
      <c r="Q197" s="25" t="n"/>
      <c r="R197" s="25" t="n"/>
      <c r="S197" s="25" t="n"/>
      <c r="T197" s="25">
        <f>IF(AND(R197="",S197=""),"",N(R197)+N(S197))</f>
        <v/>
      </c>
      <c r="U197" s="25" t="n"/>
      <c r="V197" s="26" t="inlineStr">
        <is>
          <t>IMDb</t>
        </is>
      </c>
      <c r="W197" s="26" t="inlineStr">
        <is>
          <t>FilmAffinity</t>
        </is>
      </c>
      <c r="X197" s="26" t="inlineStr">
        <is>
          <t>Letterboxd</t>
        </is>
      </c>
    </row>
    <row r="198">
      <c r="A198" t="inlineStr">
        <is>
          <t>p0197</t>
        </is>
      </c>
      <c r="B198" t="inlineStr">
        <is>
          <t>Jumanji: Bienvenidos a la Jungla</t>
        </is>
      </c>
      <c r="C198" t="inlineStr">
        <is>
          <t>Jumanji: Welcome to the Jungle</t>
        </is>
      </c>
      <c r="D198" s="4" t="n">
        <v>2017</v>
      </c>
      <c r="E198" s="4">
        <f>IF(D198="","",FLOOR(D198,10))</f>
        <v/>
      </c>
      <c r="F198" s="22" t="n">
        <v>119</v>
      </c>
      <c r="G198" s="23" t="n">
        <v>7</v>
      </c>
      <c r="H198" t="inlineStr">
        <is>
          <t>Jake Kasdan</t>
        </is>
      </c>
      <c r="I198" t="inlineStr">
        <is>
          <t>Estados Unidos</t>
        </is>
      </c>
      <c r="J198" t="inlineStr">
        <is>
          <t>Aventura, Comedia, Acción</t>
        </is>
      </c>
      <c r="K198" t="inlineStr">
        <is>
          <t>Jumanji</t>
        </is>
      </c>
      <c r="M198" s="6" t="n"/>
      <c r="O198" s="24" t="inlineStr"/>
      <c r="Q198" s="25" t="n"/>
      <c r="R198" s="25" t="n"/>
      <c r="S198" s="25" t="n"/>
      <c r="T198" s="25">
        <f>IF(AND(R198="",S198=""),"",N(R198)+N(S198))</f>
        <v/>
      </c>
      <c r="U198" s="25" t="n"/>
      <c r="V198" s="26" t="inlineStr">
        <is>
          <t>IMDb</t>
        </is>
      </c>
      <c r="W198" s="26" t="inlineStr">
        <is>
          <t>FilmAffinity</t>
        </is>
      </c>
      <c r="X198" s="26" t="inlineStr">
        <is>
          <t>Letterboxd</t>
        </is>
      </c>
    </row>
    <row r="199">
      <c r="A199" t="inlineStr">
        <is>
          <t>p0198</t>
        </is>
      </c>
      <c r="B199" t="inlineStr">
        <is>
          <t>Guardianes de la Galaxia Vol. 2</t>
        </is>
      </c>
      <c r="C199" t="inlineStr">
        <is>
          <t>Guardians of the Galaxy Vol. 2</t>
        </is>
      </c>
      <c r="D199" s="4" t="n">
        <v>2017</v>
      </c>
      <c r="E199" s="4">
        <f>IF(D199="","",FLOOR(D199,10))</f>
        <v/>
      </c>
      <c r="F199" s="22" t="n">
        <v>137</v>
      </c>
      <c r="G199" s="23" t="n">
        <v>6.9</v>
      </c>
      <c r="H199" t="inlineStr">
        <is>
          <t>James Gunn</t>
        </is>
      </c>
      <c r="I199" t="inlineStr">
        <is>
          <t>Estados Unidos</t>
        </is>
      </c>
      <c r="J199" t="inlineStr">
        <is>
          <t>Superhéroes, Ciencia ficción, Comedia</t>
        </is>
      </c>
      <c r="K199" t="inlineStr">
        <is>
          <t>UCM</t>
        </is>
      </c>
      <c r="L199" t="inlineStr">
        <is>
          <t>Fase 3 · Saga del Infinito</t>
        </is>
      </c>
      <c r="M199" s="6" t="n"/>
      <c r="O199" s="24" t="inlineStr"/>
      <c r="Q199" s="25" t="n">
        <v>146510104</v>
      </c>
      <c r="R199" s="25" t="n">
        <v>389813101</v>
      </c>
      <c r="S199" s="25" t="n">
        <v>473950261</v>
      </c>
      <c r="T199" s="25">
        <f>IF(AND(R199="",S199=""),"",N(R199)+N(S199))</f>
        <v/>
      </c>
      <c r="U199" s="25" t="n">
        <v>200000000</v>
      </c>
      <c r="V199" s="26" t="inlineStr">
        <is>
          <t>IMDb</t>
        </is>
      </c>
      <c r="W199" s="26" t="inlineStr">
        <is>
          <t>FilmAffinity</t>
        </is>
      </c>
      <c r="X199" s="26" t="inlineStr">
        <is>
          <t>Letterboxd</t>
        </is>
      </c>
    </row>
    <row r="200">
      <c r="A200" t="inlineStr">
        <is>
          <t>p0199</t>
        </is>
      </c>
      <c r="B200" t="inlineStr">
        <is>
          <t>Thor: Ragnarok</t>
        </is>
      </c>
      <c r="C200" t="inlineStr">
        <is>
          <t>Thor: Ragnarok</t>
        </is>
      </c>
      <c r="D200" s="4" t="n">
        <v>2017</v>
      </c>
      <c r="E200" s="4">
        <f>IF(D200="","",FLOOR(D200,10))</f>
        <v/>
      </c>
      <c r="F200" s="22" t="n">
        <v>130</v>
      </c>
      <c r="G200" s="23" t="n">
        <v>6.7</v>
      </c>
      <c r="H200" t="inlineStr">
        <is>
          <t>Taika Waititi</t>
        </is>
      </c>
      <c r="I200" t="inlineStr">
        <is>
          <t>Estados Unidos</t>
        </is>
      </c>
      <c r="J200" t="inlineStr">
        <is>
          <t>Superhéroes, Comedia</t>
        </is>
      </c>
      <c r="K200" t="inlineStr">
        <is>
          <t>UCM</t>
        </is>
      </c>
      <c r="L200" t="inlineStr">
        <is>
          <t>Fase 3 · Saga del Infinito</t>
        </is>
      </c>
      <c r="M200" s="6" t="n"/>
      <c r="O200" s="24" t="inlineStr"/>
      <c r="Q200" s="25" t="n">
        <v>122744989</v>
      </c>
      <c r="R200" s="25" t="n">
        <v>315058289</v>
      </c>
      <c r="S200" s="25" t="n">
        <v>540243517</v>
      </c>
      <c r="T200" s="25">
        <f>IF(AND(R200="",S200=""),"",N(R200)+N(S200))</f>
        <v/>
      </c>
      <c r="U200" s="25" t="n">
        <v>180000000</v>
      </c>
      <c r="V200" s="26" t="inlineStr">
        <is>
          <t>IMDb</t>
        </is>
      </c>
      <c r="W200" s="26" t="inlineStr">
        <is>
          <t>FilmAffinity</t>
        </is>
      </c>
      <c r="X200" s="26" t="inlineStr">
        <is>
          <t>Letterboxd</t>
        </is>
      </c>
    </row>
    <row r="201">
      <c r="A201" t="inlineStr">
        <is>
          <t>p0200</t>
        </is>
      </c>
      <c r="B201" t="inlineStr">
        <is>
          <t>Mutafukaz</t>
        </is>
      </c>
      <c r="C201" t="inlineStr">
        <is>
          <t>Mutafukaz</t>
        </is>
      </c>
      <c r="D201" s="4" t="n">
        <v>2017</v>
      </c>
      <c r="E201" s="4">
        <f>IF(D201="","",FLOOR(D201,10))</f>
        <v/>
      </c>
      <c r="F201" s="22" t="n">
        <v>90</v>
      </c>
      <c r="G201" s="23" t="n">
        <v>6.7</v>
      </c>
      <c r="H201" t="inlineStr">
        <is>
          <t>Shojiro Nishimi / Guillaume Renard</t>
        </is>
      </c>
      <c r="I201" t="inlineStr">
        <is>
          <t>Francia</t>
        </is>
      </c>
      <c r="J201" t="inlineStr">
        <is>
          <t>Animación, Acción</t>
        </is>
      </c>
      <c r="M201" s="6" t="n"/>
      <c r="O201" s="24" t="inlineStr"/>
      <c r="Q201" s="25" t="n"/>
      <c r="R201" s="25" t="n"/>
      <c r="S201" s="25" t="n"/>
      <c r="T201" s="25">
        <f>IF(AND(R201="",S201=""),"",N(R201)+N(S201))</f>
        <v/>
      </c>
      <c r="U201" s="25" t="n"/>
      <c r="V201" s="26" t="inlineStr">
        <is>
          <t>IMDb</t>
        </is>
      </c>
      <c r="X201" s="26" t="inlineStr">
        <is>
          <t>Letterboxd</t>
        </is>
      </c>
    </row>
    <row r="202">
      <c r="A202" t="inlineStr">
        <is>
          <t>p0201</t>
        </is>
      </c>
      <c r="B202" t="inlineStr">
        <is>
          <t>The square</t>
        </is>
      </c>
      <c r="C202" t="inlineStr">
        <is>
          <t>The Square</t>
        </is>
      </c>
      <c r="D202" s="4" t="n">
        <v>2017</v>
      </c>
      <c r="E202" s="4">
        <f>IF(D202="","",FLOOR(D202,10))</f>
        <v/>
      </c>
      <c r="F202" s="22" t="n">
        <v>142</v>
      </c>
      <c r="G202" s="23" t="n">
        <v>6.5</v>
      </c>
      <c r="H202" t="inlineStr">
        <is>
          <t>Ruben Östlund</t>
        </is>
      </c>
      <c r="I202" t="inlineStr">
        <is>
          <t>Suecia</t>
        </is>
      </c>
      <c r="J202" t="inlineStr">
        <is>
          <t>Drama, Comedia</t>
        </is>
      </c>
      <c r="M202" s="6" t="n"/>
      <c r="O202" s="24" t="inlineStr"/>
      <c r="Q202" s="25" t="n"/>
      <c r="R202" s="25" t="n"/>
      <c r="S202" s="25" t="n"/>
      <c r="T202" s="25">
        <f>IF(AND(R202="",S202=""),"",N(R202)+N(S202))</f>
        <v/>
      </c>
      <c r="U202" s="25" t="n"/>
      <c r="V202" s="26" t="inlineStr">
        <is>
          <t>IMDb</t>
        </is>
      </c>
      <c r="W202" s="26" t="inlineStr">
        <is>
          <t>FilmAffinity</t>
        </is>
      </c>
      <c r="X202" s="26" t="inlineStr">
        <is>
          <t>Letterboxd</t>
        </is>
      </c>
    </row>
    <row r="203">
      <c r="A203" t="inlineStr">
        <is>
          <t>p0202</t>
        </is>
      </c>
      <c r="B203" t="inlineStr">
        <is>
          <t>Toc Toc</t>
        </is>
      </c>
      <c r="C203" t="inlineStr">
        <is>
          <t>Toc Toc</t>
        </is>
      </c>
      <c r="D203" s="4" t="n">
        <v>2017</v>
      </c>
      <c r="E203" s="4">
        <f>IF(D203="","",FLOOR(D203,10))</f>
        <v/>
      </c>
      <c r="F203" s="22" t="n">
        <v>96</v>
      </c>
      <c r="G203" s="23" t="n">
        <v>6.5</v>
      </c>
      <c r="H203" t="inlineStr">
        <is>
          <t>Vicente Villanueva</t>
        </is>
      </c>
      <c r="I203" t="inlineStr">
        <is>
          <t>España</t>
        </is>
      </c>
      <c r="J203" t="inlineStr">
        <is>
          <t>Comedia</t>
        </is>
      </c>
      <c r="M203" s="6" t="n"/>
      <c r="O203" s="24" t="inlineStr"/>
      <c r="Q203" s="25" t="n"/>
      <c r="R203" s="25" t="n"/>
      <c r="S203" s="25" t="n"/>
      <c r="T203" s="25">
        <f>IF(AND(R203="",S203=""),"",N(R203)+N(S203))</f>
        <v/>
      </c>
      <c r="U203" s="25" t="n"/>
      <c r="V203" s="26" t="inlineStr">
        <is>
          <t>IMDb</t>
        </is>
      </c>
      <c r="W203" s="26" t="inlineStr">
        <is>
          <t>FilmAffinity</t>
        </is>
      </c>
      <c r="X203" s="26" t="inlineStr">
        <is>
          <t>Letterboxd</t>
        </is>
      </c>
    </row>
    <row r="204">
      <c r="A204" t="inlineStr">
        <is>
          <t>p0203</t>
        </is>
      </c>
      <c r="B204" t="inlineStr">
        <is>
          <t>Verónica</t>
        </is>
      </c>
      <c r="C204" t="inlineStr">
        <is>
          <t>Verónica</t>
        </is>
      </c>
      <c r="D204" s="4" t="n">
        <v>2017</v>
      </c>
      <c r="E204" s="4">
        <f>IF(D204="","",FLOOR(D204,10))</f>
        <v/>
      </c>
      <c r="F204" s="22" t="n">
        <v>105</v>
      </c>
      <c r="G204" s="23" t="n">
        <v>6.3</v>
      </c>
      <c r="H204" t="inlineStr">
        <is>
          <t>Paco Plaza</t>
        </is>
      </c>
      <c r="I204" t="inlineStr">
        <is>
          <t>España</t>
        </is>
      </c>
      <c r="J204" t="inlineStr">
        <is>
          <t>Terror</t>
        </is>
      </c>
      <c r="M204" s="6" t="n"/>
      <c r="O204" s="24" t="inlineStr"/>
      <c r="Q204" s="25" t="n"/>
      <c r="R204" s="25" t="n"/>
      <c r="S204" s="25" t="n"/>
      <c r="T204" s="25">
        <f>IF(AND(R204="",S204=""),"",N(R204)+N(S204))</f>
        <v/>
      </c>
      <c r="U204" s="25" t="n"/>
      <c r="V204" s="26" t="inlineStr">
        <is>
          <t>IMDb</t>
        </is>
      </c>
      <c r="W204" s="26" t="inlineStr">
        <is>
          <t>FilmAffinity</t>
        </is>
      </c>
      <c r="X204" s="26" t="inlineStr">
        <is>
          <t>Letterboxd</t>
        </is>
      </c>
    </row>
    <row r="205">
      <c r="A205" t="inlineStr">
        <is>
          <t>p0204</t>
        </is>
      </c>
      <c r="B205" t="inlineStr">
        <is>
          <t>Kingsman: El Círculo de Oro</t>
        </is>
      </c>
      <c r="C205" t="inlineStr">
        <is>
          <t>Kingsman: The Golden Circle</t>
        </is>
      </c>
      <c r="D205" s="4" t="n">
        <v>2017</v>
      </c>
      <c r="E205" s="4">
        <f>IF(D205="","",FLOOR(D205,10))</f>
        <v/>
      </c>
      <c r="F205" s="22" t="n">
        <v>141</v>
      </c>
      <c r="G205" s="23" t="n">
        <v>6.3</v>
      </c>
      <c r="H205" t="inlineStr">
        <is>
          <t>Matthew Vaughn</t>
        </is>
      </c>
      <c r="I205" t="inlineStr">
        <is>
          <t>Reino Unido</t>
        </is>
      </c>
      <c r="J205" t="inlineStr">
        <is>
          <t>Acción, Comedia</t>
        </is>
      </c>
      <c r="K205" t="inlineStr">
        <is>
          <t>Kingsman</t>
        </is>
      </c>
      <c r="M205" s="6" t="n"/>
      <c r="O205" s="24" t="inlineStr"/>
      <c r="Q205" s="25" t="n"/>
      <c r="R205" s="25" t="n"/>
      <c r="S205" s="25" t="n"/>
      <c r="T205" s="25">
        <f>IF(AND(R205="",S205=""),"",N(R205)+N(S205))</f>
        <v/>
      </c>
      <c r="U205" s="25" t="n"/>
      <c r="V205" s="26" t="inlineStr">
        <is>
          <t>IMDb</t>
        </is>
      </c>
      <c r="W205" s="26" t="inlineStr">
        <is>
          <t>FilmAffinity</t>
        </is>
      </c>
      <c r="X205" s="26" t="inlineStr">
        <is>
          <t>Letterboxd</t>
        </is>
      </c>
    </row>
    <row r="206">
      <c r="A206" t="inlineStr">
        <is>
          <t>p0205</t>
        </is>
      </c>
      <c r="B206" t="inlineStr">
        <is>
          <t>Hasta los Huesos</t>
        </is>
      </c>
      <c r="C206" t="inlineStr">
        <is>
          <t>To the Bone</t>
        </is>
      </c>
      <c r="D206" s="4" t="n">
        <v>2017</v>
      </c>
      <c r="E206" s="4">
        <f>IF(D206="","",FLOOR(D206,10))</f>
        <v/>
      </c>
      <c r="F206" s="22" t="n">
        <v>107</v>
      </c>
      <c r="G206" s="23" t="n">
        <v>6.2</v>
      </c>
      <c r="H206" t="inlineStr">
        <is>
          <t>Marti Noxon</t>
        </is>
      </c>
      <c r="I206" t="inlineStr">
        <is>
          <t>Estados Unidos</t>
        </is>
      </c>
      <c r="J206" t="inlineStr">
        <is>
          <t>Drama</t>
        </is>
      </c>
      <c r="M206" s="6" t="n"/>
      <c r="O206" s="24" t="inlineStr"/>
      <c r="Q206" s="25" t="n"/>
      <c r="R206" s="25" t="n"/>
      <c r="S206" s="25" t="n"/>
      <c r="T206" s="25">
        <f>IF(AND(R206="",S206=""),"",N(R206)+N(S206))</f>
        <v/>
      </c>
      <c r="U206" s="25" t="n"/>
      <c r="V206" s="26" t="inlineStr">
        <is>
          <t>IMDb</t>
        </is>
      </c>
      <c r="W206" s="26" t="inlineStr">
        <is>
          <t>FilmAffinity</t>
        </is>
      </c>
      <c r="X206" s="26" t="inlineStr">
        <is>
          <t>Letterboxd</t>
        </is>
      </c>
    </row>
    <row r="207">
      <c r="A207" t="inlineStr">
        <is>
          <t>p0206</t>
        </is>
      </c>
      <c r="B207" t="inlineStr">
        <is>
          <t>Star Wars: Los Últimos Jedi</t>
        </is>
      </c>
      <c r="C207" t="inlineStr">
        <is>
          <t>Star Wars: The Last Jedi</t>
        </is>
      </c>
      <c r="D207" s="4" t="n">
        <v>2017</v>
      </c>
      <c r="E207" s="4">
        <f>IF(D207="","",FLOOR(D207,10))</f>
        <v/>
      </c>
      <c r="F207" s="22" t="n">
        <v>150</v>
      </c>
      <c r="G207" s="23" t="n">
        <v>6.2</v>
      </c>
      <c r="H207" t="inlineStr">
        <is>
          <t>Rian Johnson</t>
        </is>
      </c>
      <c r="I207" t="inlineStr">
        <is>
          <t>Estados Unidos</t>
        </is>
      </c>
      <c r="J207" t="inlineStr">
        <is>
          <t>Ciencia ficción, Aventura, Acción</t>
        </is>
      </c>
      <c r="K207" t="inlineStr">
        <is>
          <t>Star Wars</t>
        </is>
      </c>
      <c r="M207" s="6" t="n"/>
      <c r="O207" s="24" t="inlineStr"/>
      <c r="Q207" s="25" t="n">
        <v>220009584</v>
      </c>
      <c r="R207" s="25" t="n">
        <v>620181382</v>
      </c>
      <c r="S207" s="25" t="n">
        <v>714226324</v>
      </c>
      <c r="T207" s="25">
        <f>IF(AND(R207="",S207=""),"",N(R207)+N(S207))</f>
        <v/>
      </c>
      <c r="U207" s="25" t="n"/>
      <c r="V207" s="26" t="inlineStr">
        <is>
          <t>IMDb</t>
        </is>
      </c>
      <c r="W207" s="26" t="inlineStr">
        <is>
          <t>FilmAffinity</t>
        </is>
      </c>
      <c r="X207" s="26" t="inlineStr">
        <is>
          <t>Letterboxd</t>
        </is>
      </c>
    </row>
    <row r="208">
      <c r="A208" t="inlineStr">
        <is>
          <t>p0207</t>
        </is>
      </c>
      <c r="B208" t="inlineStr">
        <is>
          <t>Spider-Man: Homecoming</t>
        </is>
      </c>
      <c r="C208" t="inlineStr">
        <is>
          <t>Spider-Man: Homecoming</t>
        </is>
      </c>
      <c r="D208" s="4" t="n">
        <v>2017</v>
      </c>
      <c r="E208" s="4">
        <f>IF(D208="","",FLOOR(D208,10))</f>
        <v/>
      </c>
      <c r="F208" s="22" t="n">
        <v>133</v>
      </c>
      <c r="G208" s="23" t="n">
        <v>6</v>
      </c>
      <c r="H208" t="inlineStr">
        <is>
          <t>Jon Watts</t>
        </is>
      </c>
      <c r="I208" t="inlineStr">
        <is>
          <t>Estados Unidos</t>
        </is>
      </c>
      <c r="J208" t="inlineStr">
        <is>
          <t>Superhéroes, Acción</t>
        </is>
      </c>
      <c r="K208" t="inlineStr">
        <is>
          <t>UCM</t>
        </is>
      </c>
      <c r="L208" t="inlineStr">
        <is>
          <t>Fase 3 · Saga del Infinito</t>
        </is>
      </c>
      <c r="M208" s="6" t="n"/>
      <c r="O208" s="24" t="inlineStr"/>
      <c r="Q208" s="25" t="n">
        <v>117027503</v>
      </c>
      <c r="R208" s="25" t="n">
        <v>334952829</v>
      </c>
      <c r="S208" s="25" t="n">
        <v>545983955</v>
      </c>
      <c r="T208" s="25">
        <f>IF(AND(R208="",S208=""),"",N(R208)+N(S208))</f>
        <v/>
      </c>
      <c r="U208" s="25" t="n">
        <v>175000000</v>
      </c>
      <c r="V208" s="26" t="inlineStr">
        <is>
          <t>IMDb</t>
        </is>
      </c>
      <c r="W208" s="26" t="inlineStr">
        <is>
          <t>FilmAffinity</t>
        </is>
      </c>
      <c r="X208" s="26" t="inlineStr">
        <is>
          <t>Letterboxd</t>
        </is>
      </c>
    </row>
    <row r="209">
      <c r="A209" t="inlineStr">
        <is>
          <t>p0208</t>
        </is>
      </c>
      <c r="B209" t="inlineStr">
        <is>
          <t>Feliz Día de Tu Muerte</t>
        </is>
      </c>
      <c r="C209" t="inlineStr">
        <is>
          <t>Happy Death Day</t>
        </is>
      </c>
      <c r="D209" s="4" t="n">
        <v>2017</v>
      </c>
      <c r="E209" s="4">
        <f>IF(D209="","",FLOOR(D209,10))</f>
        <v/>
      </c>
      <c r="F209" s="22" t="n">
        <v>96</v>
      </c>
      <c r="G209" s="23" t="n">
        <v>5.9</v>
      </c>
      <c r="H209" t="inlineStr">
        <is>
          <t>Christopher Landon</t>
        </is>
      </c>
      <c r="I209" t="inlineStr">
        <is>
          <t>Estados Unidos</t>
        </is>
      </c>
      <c r="J209" t="inlineStr">
        <is>
          <t>Terror, Comedia, Misterio</t>
        </is>
      </c>
      <c r="K209" t="inlineStr">
        <is>
          <t>Feliz día de tu muerte</t>
        </is>
      </c>
      <c r="M209" s="6" t="n"/>
      <c r="O209" s="24" t="inlineStr"/>
      <c r="Q209" s="25" t="n"/>
      <c r="R209" s="25" t="n"/>
      <c r="S209" s="25" t="n"/>
      <c r="T209" s="25">
        <f>IF(AND(R209="",S209=""),"",N(R209)+N(S209))</f>
        <v/>
      </c>
      <c r="U209" s="25" t="n"/>
      <c r="V209" s="26" t="inlineStr">
        <is>
          <t>IMDb</t>
        </is>
      </c>
      <c r="W209" s="26" t="inlineStr">
        <is>
          <t>FilmAffinity</t>
        </is>
      </c>
      <c r="X209" s="26" t="inlineStr">
        <is>
          <t>Letterboxd</t>
        </is>
      </c>
    </row>
    <row r="210">
      <c r="A210" t="inlineStr">
        <is>
          <t>p0209</t>
        </is>
      </c>
      <c r="B210" t="inlineStr">
        <is>
          <t>Perfectos desconocidos</t>
        </is>
      </c>
      <c r="C210" t="inlineStr">
        <is>
          <t>Perfectos desconocidos</t>
        </is>
      </c>
      <c r="D210" s="4" t="n">
        <v>2017</v>
      </c>
      <c r="E210" s="4">
        <f>IF(D210="","",FLOOR(D210,10))</f>
        <v/>
      </c>
      <c r="F210" s="22" t="n">
        <v>96</v>
      </c>
      <c r="G210" s="23" t="n">
        <v>5.9</v>
      </c>
      <c r="H210" t="inlineStr">
        <is>
          <t>Álex de la Iglesia</t>
        </is>
      </c>
      <c r="I210" t="inlineStr">
        <is>
          <t>España</t>
        </is>
      </c>
      <c r="J210" t="inlineStr">
        <is>
          <t>Comedia, Drama</t>
        </is>
      </c>
      <c r="M210" s="6" t="n"/>
      <c r="O210" s="24" t="inlineStr"/>
      <c r="Q210" s="25" t="n">
        <v>2341073</v>
      </c>
      <c r="R210" s="25" t="n">
        <v>25764127</v>
      </c>
      <c r="S210" s="25" t="n">
        <v>32247859</v>
      </c>
      <c r="T210" s="25">
        <f>IF(AND(R210="",S210=""),"",N(R210)+N(S210))</f>
        <v/>
      </c>
      <c r="U210" s="25" t="n"/>
      <c r="V210" s="26" t="inlineStr">
        <is>
          <t>IMDb</t>
        </is>
      </c>
      <c r="W210" s="26" t="inlineStr">
        <is>
          <t>FilmAffinity</t>
        </is>
      </c>
      <c r="X210" s="26" t="inlineStr">
        <is>
          <t>Letterboxd</t>
        </is>
      </c>
    </row>
    <row r="211">
      <c r="A211" t="inlineStr">
        <is>
          <t>p0210</t>
        </is>
      </c>
      <c r="B211" t="inlineStr">
        <is>
          <t>En Realidad Nunca Estuviste Aquí</t>
        </is>
      </c>
      <c r="C211" t="inlineStr">
        <is>
          <t>You Were Never Really Here</t>
        </is>
      </c>
      <c r="D211" s="4" t="n">
        <v>2017</v>
      </c>
      <c r="E211" s="4">
        <f>IF(D211="","",FLOOR(D211,10))</f>
        <v/>
      </c>
      <c r="F211" s="22" t="n">
        <v>95</v>
      </c>
      <c r="G211" s="23" t="n">
        <v>5.8</v>
      </c>
      <c r="H211" t="inlineStr">
        <is>
          <t>Lynne Ramsay</t>
        </is>
      </c>
      <c r="I211" t="inlineStr">
        <is>
          <t>Reino Unido</t>
        </is>
      </c>
      <c r="J211" t="inlineStr">
        <is>
          <t>Thriller, Crimen, Drama</t>
        </is>
      </c>
      <c r="M211" s="6" t="n"/>
      <c r="O211" s="24" t="inlineStr"/>
      <c r="Q211" s="25" t="n"/>
      <c r="R211" s="25" t="n"/>
      <c r="S211" s="25" t="n"/>
      <c r="T211" s="25">
        <f>IF(AND(R211="",S211=""),"",N(R211)+N(S211))</f>
        <v/>
      </c>
      <c r="U211" s="25" t="n"/>
      <c r="V211" s="26" t="inlineStr">
        <is>
          <t>IMDb</t>
        </is>
      </c>
      <c r="W211" s="26" t="inlineStr">
        <is>
          <t>FilmAffinity</t>
        </is>
      </c>
      <c r="X211" s="26" t="inlineStr">
        <is>
          <t>Letterboxd</t>
        </is>
      </c>
    </row>
    <row r="212">
      <c r="A212" t="inlineStr">
        <is>
          <t>p0211</t>
        </is>
      </c>
      <c r="B212" t="inlineStr">
        <is>
          <t>Fe de etarras</t>
        </is>
      </c>
      <c r="C212" t="inlineStr">
        <is>
          <t>Fe de etarras</t>
        </is>
      </c>
      <c r="D212" s="4" t="n">
        <v>2017</v>
      </c>
      <c r="E212" s="4">
        <f>IF(D212="","",FLOOR(D212,10))</f>
        <v/>
      </c>
      <c r="F212" s="22" t="n">
        <v>89</v>
      </c>
      <c r="G212" s="23" t="n">
        <v>5.7</v>
      </c>
      <c r="H212" t="inlineStr">
        <is>
          <t>Borja Cobeaga</t>
        </is>
      </c>
      <c r="I212" t="inlineStr">
        <is>
          <t>España</t>
        </is>
      </c>
      <c r="J212" t="inlineStr">
        <is>
          <t>Comedia</t>
        </is>
      </c>
      <c r="M212" s="6" t="n"/>
      <c r="O212" s="24" t="inlineStr"/>
      <c r="Q212" s="25" t="n"/>
      <c r="R212" s="25" t="n"/>
      <c r="S212" s="25" t="n"/>
      <c r="T212" s="25">
        <f>IF(AND(R212="",S212=""),"",N(R212)+N(S212))</f>
        <v/>
      </c>
      <c r="U212" s="25" t="n"/>
      <c r="V212" s="26" t="inlineStr">
        <is>
          <t>IMDb</t>
        </is>
      </c>
      <c r="W212" s="26" t="inlineStr">
        <is>
          <t>FilmAffinity</t>
        </is>
      </c>
      <c r="X212" s="26" t="inlineStr">
        <is>
          <t>Letterboxd</t>
        </is>
      </c>
    </row>
    <row r="213">
      <c r="A213" t="inlineStr">
        <is>
          <t>p0212</t>
        </is>
      </c>
      <c r="B213" t="inlineStr">
        <is>
          <t>Time Trap</t>
        </is>
      </c>
      <c r="C213" t="inlineStr">
        <is>
          <t>Time Trap</t>
        </is>
      </c>
      <c r="D213" s="4" t="n">
        <v>2017</v>
      </c>
      <c r="E213" s="4">
        <f>IF(D213="","",FLOOR(D213,10))</f>
        <v/>
      </c>
      <c r="F213" s="22" t="n">
        <v>87</v>
      </c>
      <c r="G213" s="23" t="n">
        <v>5.5</v>
      </c>
      <c r="H213" t="inlineStr">
        <is>
          <t>Mark Dennis / Ben Foster</t>
        </is>
      </c>
      <c r="I213" t="inlineStr">
        <is>
          <t>Estados Unidos</t>
        </is>
      </c>
      <c r="J213" t="inlineStr">
        <is>
          <t>Ciencia ficción, Aventura</t>
        </is>
      </c>
      <c r="M213" s="6" t="n"/>
      <c r="O213" s="24" t="inlineStr"/>
      <c r="Q213" s="25" t="n"/>
      <c r="R213" s="25" t="n"/>
      <c r="S213" s="25" t="n"/>
      <c r="T213" s="25">
        <f>IF(AND(R213="",S213=""),"",N(R213)+N(S213))</f>
        <v/>
      </c>
      <c r="U213" s="25" t="n"/>
      <c r="V213" s="26" t="inlineStr">
        <is>
          <t>IMDb</t>
        </is>
      </c>
      <c r="W213" s="26" t="inlineStr">
        <is>
          <t>FilmAffinity</t>
        </is>
      </c>
      <c r="X213" s="26" t="inlineStr">
        <is>
          <t>Letterboxd</t>
        </is>
      </c>
    </row>
    <row r="214">
      <c r="A214" t="inlineStr">
        <is>
          <t>p0213</t>
        </is>
      </c>
      <c r="B214" t="inlineStr">
        <is>
          <t>1922</t>
        </is>
      </c>
      <c r="C214" t="inlineStr">
        <is>
          <t>1922</t>
        </is>
      </c>
      <c r="D214" s="4" t="n">
        <v>2017</v>
      </c>
      <c r="E214" s="4">
        <f>IF(D214="","",FLOOR(D214,10))</f>
        <v/>
      </c>
      <c r="F214" s="22" t="n">
        <v>101</v>
      </c>
      <c r="G214" s="23" t="n">
        <v>5</v>
      </c>
      <c r="H214" t="inlineStr">
        <is>
          <t>Zak Hilditch</t>
        </is>
      </c>
      <c r="I214" t="inlineStr">
        <is>
          <t>Estados Unidos</t>
        </is>
      </c>
      <c r="J214" t="inlineStr">
        <is>
          <t>Terror, Drama, Crimen</t>
        </is>
      </c>
      <c r="M214" s="6" t="n"/>
      <c r="O214" s="24" t="inlineStr"/>
      <c r="Q214" s="25" t="n"/>
      <c r="R214" s="25" t="n"/>
      <c r="S214" s="25" t="n"/>
      <c r="T214" s="25">
        <f>IF(AND(R214="",S214=""),"",N(R214)+N(S214))</f>
        <v/>
      </c>
      <c r="U214" s="25" t="n"/>
      <c r="V214" s="26" t="inlineStr">
        <is>
          <t>IMDb</t>
        </is>
      </c>
      <c r="W214" s="26" t="inlineStr">
        <is>
          <t>FilmAffinity</t>
        </is>
      </c>
      <c r="X214" s="26" t="inlineStr">
        <is>
          <t>Letterboxd</t>
        </is>
      </c>
    </row>
    <row r="215">
      <c r="A215" t="inlineStr">
        <is>
          <t>p0214</t>
        </is>
      </c>
      <c r="B215" t="inlineStr">
        <is>
          <t>Gru 3: Mi Villano Favorito</t>
        </is>
      </c>
      <c r="C215" t="inlineStr">
        <is>
          <t>Despicable Me 3</t>
        </is>
      </c>
      <c r="D215" s="4" t="n">
        <v>2017</v>
      </c>
      <c r="E215" s="4">
        <f>IF(D215="","",FLOOR(D215,10))</f>
        <v/>
      </c>
      <c r="F215" s="22" t="n">
        <v>90</v>
      </c>
      <c r="G215" s="23" t="n">
        <v>4.8</v>
      </c>
      <c r="H215" t="inlineStr">
        <is>
          <t>Kyle Balda / Pierre Coffin / Eric Guillon</t>
        </is>
      </c>
      <c r="I215" t="inlineStr">
        <is>
          <t>Estados Unidos</t>
        </is>
      </c>
      <c r="J215" t="inlineStr">
        <is>
          <t>Animación, Comedia, Familiar</t>
        </is>
      </c>
      <c r="K215" t="inlineStr">
        <is>
          <t>Gru</t>
        </is>
      </c>
      <c r="M215" s="6" t="n"/>
      <c r="O215" s="24" t="inlineStr"/>
      <c r="Q215" s="25" t="n"/>
      <c r="R215" s="25" t="n"/>
      <c r="S215" s="25" t="n"/>
      <c r="T215" s="25">
        <f>IF(AND(R215="",S215=""),"",N(R215)+N(S215))</f>
        <v/>
      </c>
      <c r="U215" s="25" t="n"/>
      <c r="V215" s="26" t="inlineStr">
        <is>
          <t>IMDb</t>
        </is>
      </c>
      <c r="W215" s="26" t="inlineStr">
        <is>
          <t>FilmAffinity</t>
        </is>
      </c>
      <c r="X215" s="26" t="inlineStr">
        <is>
          <t>Letterboxd</t>
        </is>
      </c>
    </row>
    <row r="216">
      <c r="A216" t="inlineStr">
        <is>
          <t>p0215</t>
        </is>
      </c>
      <c r="B216" t="inlineStr">
        <is>
          <t>Señor, dame paciencia</t>
        </is>
      </c>
      <c r="C216" t="inlineStr">
        <is>
          <t>Señor, dame paciencia</t>
        </is>
      </c>
      <c r="D216" s="4" t="n">
        <v>2017</v>
      </c>
      <c r="E216" s="4">
        <f>IF(D216="","",FLOOR(D216,10))</f>
        <v/>
      </c>
      <c r="F216" s="22" t="n">
        <v>91</v>
      </c>
      <c r="G216" s="23" t="n">
        <v>4.2</v>
      </c>
      <c r="H216" t="inlineStr">
        <is>
          <t>Álvaro Díaz Lorenzo</t>
        </is>
      </c>
      <c r="I216" t="inlineStr">
        <is>
          <t>España</t>
        </is>
      </c>
      <c r="J216" t="inlineStr">
        <is>
          <t>Comedia</t>
        </is>
      </c>
      <c r="M216" s="6" t="n"/>
      <c r="O216" s="24" t="inlineStr"/>
      <c r="Q216" s="25" t="n"/>
      <c r="R216" s="25" t="n"/>
      <c r="S216" s="25" t="n"/>
      <c r="T216" s="25">
        <f>IF(AND(R216="",S216=""),"",N(R216)+N(S216))</f>
        <v/>
      </c>
      <c r="U216" s="25" t="n"/>
      <c r="V216" s="26" t="inlineStr">
        <is>
          <t>IMDb</t>
        </is>
      </c>
      <c r="W216" s="26" t="inlineStr">
        <is>
          <t>FilmAffinity</t>
        </is>
      </c>
      <c r="X216" s="26" t="inlineStr">
        <is>
          <t>Letterboxd</t>
        </is>
      </c>
    </row>
    <row r="217">
      <c r="A217" t="inlineStr">
        <is>
          <t>p0216</t>
        </is>
      </c>
      <c r="B217" t="inlineStr">
        <is>
          <t>Desnudo</t>
        </is>
      </c>
      <c r="C217" t="inlineStr">
        <is>
          <t>Naked</t>
        </is>
      </c>
      <c r="D217" s="4" t="n">
        <v>2017</v>
      </c>
      <c r="E217" s="4">
        <f>IF(D217="","",FLOOR(D217,10))</f>
        <v/>
      </c>
      <c r="F217" s="22" t="n">
        <v>96</v>
      </c>
      <c r="G217" s="23" t="n">
        <v>4</v>
      </c>
      <c r="H217" t="inlineStr">
        <is>
          <t>Michael Tiddes</t>
        </is>
      </c>
      <c r="I217" t="inlineStr">
        <is>
          <t>Estados Unidos</t>
        </is>
      </c>
      <c r="J217" t="inlineStr">
        <is>
          <t>Comedia</t>
        </is>
      </c>
      <c r="M217" s="6" t="n"/>
      <c r="O217" s="24" t="inlineStr"/>
      <c r="Q217" s="25" t="n"/>
      <c r="R217" s="25" t="n"/>
      <c r="S217" s="25" t="n"/>
      <c r="T217" s="25">
        <f>IF(AND(R217="",S217=""),"",N(R217)+N(S217))</f>
        <v/>
      </c>
      <c r="U217" s="25" t="n"/>
      <c r="V217" s="26" t="inlineStr">
        <is>
          <t>IMDb</t>
        </is>
      </c>
      <c r="W217" s="26" t="inlineStr">
        <is>
          <t>FilmAffinity</t>
        </is>
      </c>
      <c r="X217" s="26" t="inlineStr">
        <is>
          <t>Letterboxd</t>
        </is>
      </c>
    </row>
    <row r="218">
      <c r="A218" t="inlineStr">
        <is>
          <t>p0217</t>
        </is>
      </c>
      <c r="B218" t="inlineStr">
        <is>
          <t>Capitán América: Civil War</t>
        </is>
      </c>
      <c r="C218" t="inlineStr">
        <is>
          <t>Captain America: Civil War</t>
        </is>
      </c>
      <c r="D218" s="4" t="n">
        <v>2016</v>
      </c>
      <c r="E218" s="4">
        <f>IF(D218="","",FLOOR(D218,10))</f>
        <v/>
      </c>
      <c r="F218" s="22" t="n">
        <v>147</v>
      </c>
      <c r="G218" s="23" t="n">
        <v>8.5</v>
      </c>
      <c r="H218" t="inlineStr">
        <is>
          <t>Anthony Russo / Joe Russo</t>
        </is>
      </c>
      <c r="I218" t="inlineStr">
        <is>
          <t>Estados Unidos</t>
        </is>
      </c>
      <c r="J218" t="inlineStr">
        <is>
          <t>Superhéroes, Acción</t>
        </is>
      </c>
      <c r="K218" t="inlineStr">
        <is>
          <t>UCM</t>
        </is>
      </c>
      <c r="L218" t="inlineStr">
        <is>
          <t>Fase 3 · Saga del Infinito</t>
        </is>
      </c>
      <c r="M218" s="6" t="n"/>
      <c r="O218" s="24" t="inlineStr"/>
      <c r="Q218" s="25" t="n">
        <v>179139142</v>
      </c>
      <c r="R218" s="25" t="n">
        <v>408084349</v>
      </c>
      <c r="S218" s="25" t="n">
        <v>746962067</v>
      </c>
      <c r="T218" s="25">
        <f>IF(AND(R218="",S218=""),"",N(R218)+N(S218))</f>
        <v/>
      </c>
      <c r="U218" s="25" t="n">
        <v>250000000</v>
      </c>
      <c r="V218" s="26" t="inlineStr">
        <is>
          <t>IMDb</t>
        </is>
      </c>
      <c r="W218" s="26" t="inlineStr">
        <is>
          <t>FilmAffinity</t>
        </is>
      </c>
      <c r="X218" s="26" t="inlineStr">
        <is>
          <t>Letterboxd</t>
        </is>
      </c>
    </row>
    <row r="219">
      <c r="A219" t="inlineStr">
        <is>
          <t>p0218</t>
        </is>
      </c>
      <c r="B219" t="inlineStr">
        <is>
          <t>Your Name</t>
        </is>
      </c>
      <c r="C219" t="inlineStr">
        <is>
          <t>Your Name</t>
        </is>
      </c>
      <c r="D219" s="4" t="n">
        <v>2016</v>
      </c>
      <c r="E219" s="4">
        <f>IF(D219="","",FLOOR(D219,10))</f>
        <v/>
      </c>
      <c r="F219" s="22" t="n">
        <v>106</v>
      </c>
      <c r="G219" s="23" t="n">
        <v>8.199999999999999</v>
      </c>
      <c r="H219" t="inlineStr">
        <is>
          <t>Makoto Shinkai</t>
        </is>
      </c>
      <c r="I219" t="inlineStr">
        <is>
          <t>Japón</t>
        </is>
      </c>
      <c r="J219" t="inlineStr">
        <is>
          <t>Animación, Romance, Fantasía</t>
        </is>
      </c>
      <c r="M219" s="6" t="n"/>
      <c r="O219" s="24" t="inlineStr"/>
      <c r="Q219" s="25" t="n"/>
      <c r="R219" s="25" t="n"/>
      <c r="S219" s="25" t="n"/>
      <c r="T219" s="25">
        <f>IF(AND(R219="",S219=""),"",N(R219)+N(S219))</f>
        <v/>
      </c>
      <c r="U219" s="25" t="n"/>
      <c r="V219" s="26" t="inlineStr">
        <is>
          <t>IMDb</t>
        </is>
      </c>
      <c r="W219" s="26" t="inlineStr">
        <is>
          <t>FilmAffinity</t>
        </is>
      </c>
      <c r="X219" s="26" t="inlineStr">
        <is>
          <t>Letterboxd</t>
        </is>
      </c>
    </row>
    <row r="220">
      <c r="A220" t="inlineStr">
        <is>
          <t>p0219</t>
        </is>
      </c>
      <c r="B220" t="inlineStr">
        <is>
          <t>La La Land</t>
        </is>
      </c>
      <c r="C220" t="inlineStr">
        <is>
          <t>La La Land</t>
        </is>
      </c>
      <c r="D220" s="4" t="n">
        <v>2016</v>
      </c>
      <c r="E220" s="4">
        <f>IF(D220="","",FLOOR(D220,10))</f>
        <v/>
      </c>
      <c r="F220" s="22" t="n">
        <v>127</v>
      </c>
      <c r="G220" s="23" t="n">
        <v>7.9</v>
      </c>
      <c r="H220" t="inlineStr">
        <is>
          <t>Damien Chazelle</t>
        </is>
      </c>
      <c r="I220" t="inlineStr">
        <is>
          <t>Estados Unidos</t>
        </is>
      </c>
      <c r="J220" t="inlineStr">
        <is>
          <t>Musical, Romance, Drama</t>
        </is>
      </c>
      <c r="M220" s="6" t="n"/>
      <c r="O220" s="24" t="inlineStr"/>
      <c r="Q220" s="25" t="n">
        <v>881104</v>
      </c>
      <c r="R220" s="25" t="n">
        <v>151101803</v>
      </c>
      <c r="S220" s="25" t="n">
        <v>371984368</v>
      </c>
      <c r="T220" s="25">
        <f>IF(AND(R220="",S220=""),"",N(R220)+N(S220))</f>
        <v/>
      </c>
      <c r="U220" s="25" t="n"/>
      <c r="V220" s="26" t="inlineStr">
        <is>
          <t>IMDb</t>
        </is>
      </c>
    </row>
    <row r="221">
      <c r="A221" t="inlineStr">
        <is>
          <t>p0220</t>
        </is>
      </c>
      <c r="B221" t="inlineStr">
        <is>
          <t>Hasta el Último Hombre</t>
        </is>
      </c>
      <c r="C221" t="inlineStr">
        <is>
          <t>Hacksaw Ridge</t>
        </is>
      </c>
      <c r="D221" s="4" t="n">
        <v>2016</v>
      </c>
      <c r="E221" s="4">
        <f>IF(D221="","",FLOOR(D221,10))</f>
        <v/>
      </c>
      <c r="F221" s="22" t="n">
        <v>131</v>
      </c>
      <c r="G221" s="23" t="n">
        <v>7.6</v>
      </c>
      <c r="H221" t="inlineStr">
        <is>
          <t>Mel Gibson</t>
        </is>
      </c>
      <c r="I221" t="inlineStr">
        <is>
          <t>Estados Unidos</t>
        </is>
      </c>
      <c r="J221" t="inlineStr">
        <is>
          <t>Bélico, Biográfico, Drama</t>
        </is>
      </c>
      <c r="M221" s="6" t="n"/>
      <c r="O221" s="24" t="inlineStr"/>
      <c r="Q221" s="25" t="n">
        <v>15190758</v>
      </c>
      <c r="R221" s="25" t="n">
        <v>67209615</v>
      </c>
      <c r="S221" s="25" t="n">
        <v>113354021</v>
      </c>
      <c r="T221" s="25">
        <f>IF(AND(R221="",S221=""),"",N(R221)+N(S221))</f>
        <v/>
      </c>
      <c r="U221" s="25" t="n"/>
      <c r="V221" s="26" t="inlineStr">
        <is>
          <t>IMDb</t>
        </is>
      </c>
      <c r="W221" s="26" t="inlineStr">
        <is>
          <t>FilmAffinity</t>
        </is>
      </c>
      <c r="X221" s="26" t="inlineStr">
        <is>
          <t>Letterboxd</t>
        </is>
      </c>
    </row>
    <row r="222">
      <c r="A222" t="inlineStr">
        <is>
          <t>p0221</t>
        </is>
      </c>
      <c r="B222" t="inlineStr">
        <is>
          <t>Manchester Frente al Mar</t>
        </is>
      </c>
      <c r="C222" t="inlineStr">
        <is>
          <t>Manchester by the Sea</t>
        </is>
      </c>
      <c r="D222" s="4" t="n">
        <v>2016</v>
      </c>
      <c r="E222" s="4">
        <f>IF(D222="","",FLOOR(D222,10))</f>
        <v/>
      </c>
      <c r="F222" s="22" t="n">
        <v>135</v>
      </c>
      <c r="G222" s="23" t="n">
        <v>7.6</v>
      </c>
      <c r="H222" t="inlineStr">
        <is>
          <t>Kenneth Lonergan</t>
        </is>
      </c>
      <c r="I222" t="inlineStr">
        <is>
          <t>Estados Unidos</t>
        </is>
      </c>
      <c r="J222" t="inlineStr">
        <is>
          <t>Drama</t>
        </is>
      </c>
      <c r="M222" s="6" t="n"/>
      <c r="O222" s="24" t="inlineStr"/>
      <c r="Q222" s="25" t="n">
        <v>256498</v>
      </c>
      <c r="R222" s="25" t="n">
        <v>47695371</v>
      </c>
      <c r="S222" s="25" t="n">
        <v>31292777</v>
      </c>
      <c r="T222" s="25">
        <f>IF(AND(R222="",S222=""),"",N(R222)+N(S222))</f>
        <v/>
      </c>
      <c r="U222" s="25" t="n"/>
      <c r="V222" s="26" t="inlineStr">
        <is>
          <t>IMDb</t>
        </is>
      </c>
      <c r="W222" s="26" t="inlineStr">
        <is>
          <t>FilmAffinity</t>
        </is>
      </c>
      <c r="X222" s="26" t="inlineStr">
        <is>
          <t>Letterboxd</t>
        </is>
      </c>
    </row>
    <row r="223">
      <c r="A223" t="inlineStr">
        <is>
          <t>p0222</t>
        </is>
      </c>
      <c r="B223" t="inlineStr">
        <is>
          <t>Expediente Warren: El Caso Enfield</t>
        </is>
      </c>
      <c r="C223" t="inlineStr">
        <is>
          <t>The Conjuring 2</t>
        </is>
      </c>
      <c r="D223" s="4" t="n">
        <v>2016</v>
      </c>
      <c r="E223" s="4">
        <f>IF(D223="","",FLOOR(D223,10))</f>
        <v/>
      </c>
      <c r="F223" s="22" t="n">
        <v>133</v>
      </c>
      <c r="G223" s="23" t="n">
        <v>7.2</v>
      </c>
      <c r="H223" t="inlineStr">
        <is>
          <t>James Wan</t>
        </is>
      </c>
      <c r="I223" t="inlineStr">
        <is>
          <t>Estados Unidos</t>
        </is>
      </c>
      <c r="J223" t="inlineStr">
        <is>
          <t>Terror</t>
        </is>
      </c>
      <c r="K223" t="inlineStr">
        <is>
          <t>Universo Expediente Warren</t>
        </is>
      </c>
      <c r="M223" s="6" t="n"/>
      <c r="O223" s="24" t="inlineStr"/>
      <c r="Q223" s="25" t="n">
        <v>40406314</v>
      </c>
      <c r="R223" s="25" t="n">
        <v>102516140</v>
      </c>
      <c r="S223" s="25" t="n">
        <v>220303614</v>
      </c>
      <c r="T223" s="25">
        <f>IF(AND(R223="",S223=""),"",N(R223)+N(S223))</f>
        <v/>
      </c>
      <c r="U223" s="25" t="n"/>
      <c r="V223" s="26" t="inlineStr">
        <is>
          <t>IMDb</t>
        </is>
      </c>
      <c r="W223" s="26" t="inlineStr">
        <is>
          <t>FilmAffinity</t>
        </is>
      </c>
      <c r="X223" s="26" t="inlineStr">
        <is>
          <t>Letterboxd</t>
        </is>
      </c>
    </row>
    <row r="224">
      <c r="A224" t="inlineStr">
        <is>
          <t>p0223</t>
        </is>
      </c>
      <c r="B224" t="inlineStr">
        <is>
          <t>Múltiple</t>
        </is>
      </c>
      <c r="C224" t="inlineStr">
        <is>
          <t>Split</t>
        </is>
      </c>
      <c r="D224" s="4" t="n">
        <v>2016</v>
      </c>
      <c r="E224" s="4">
        <f>IF(D224="","",FLOOR(D224,10))</f>
        <v/>
      </c>
      <c r="F224" s="22" t="n">
        <v>116</v>
      </c>
      <c r="G224" s="23" t="n">
        <v>6.9</v>
      </c>
      <c r="H224" t="inlineStr">
        <is>
          <t>M. Night Shyamalan</t>
        </is>
      </c>
      <c r="I224" t="inlineStr">
        <is>
          <t>Estados Unidos</t>
        </is>
      </c>
      <c r="J224" t="inlineStr">
        <is>
          <t>Thriller, Terror</t>
        </is>
      </c>
      <c r="M224" s="6" t="n"/>
      <c r="O224" s="24" t="inlineStr"/>
      <c r="Q224" s="25" t="n">
        <v>40010975</v>
      </c>
      <c r="R224" s="25" t="n">
        <v>138291365</v>
      </c>
      <c r="S224" s="25" t="n">
        <v>140163052</v>
      </c>
      <c r="T224" s="25">
        <f>IF(AND(R224="",S224=""),"",N(R224)+N(S224))</f>
        <v/>
      </c>
      <c r="U224" s="25" t="n"/>
      <c r="V224" s="26" t="inlineStr">
        <is>
          <t>IMDb</t>
        </is>
      </c>
      <c r="W224" s="26" t="inlineStr">
        <is>
          <t>FilmAffinity</t>
        </is>
      </c>
      <c r="X224" s="26" t="inlineStr">
        <is>
          <t>Letterboxd</t>
        </is>
      </c>
    </row>
    <row r="225">
      <c r="A225" t="inlineStr">
        <is>
          <t>p0224</t>
        </is>
      </c>
      <c r="B225" t="inlineStr">
        <is>
          <t>Tarde para la ira</t>
        </is>
      </c>
      <c r="C225" t="inlineStr">
        <is>
          <t>Tarde para la ira</t>
        </is>
      </c>
      <c r="D225" s="4" t="n">
        <v>2016</v>
      </c>
      <c r="E225" s="4">
        <f>IF(D225="","",FLOOR(D225,10))</f>
        <v/>
      </c>
      <c r="F225" s="22" t="n">
        <v>89</v>
      </c>
      <c r="G225" s="23" t="n">
        <v>6.9</v>
      </c>
      <c r="H225" t="inlineStr">
        <is>
          <t>Raúl Arévalo</t>
        </is>
      </c>
      <c r="I225" t="inlineStr">
        <is>
          <t>España</t>
        </is>
      </c>
      <c r="J225" t="inlineStr">
        <is>
          <t>Thriller, Crimen, Drama</t>
        </is>
      </c>
      <c r="M225" s="6" t="n"/>
      <c r="O225" s="24" t="inlineStr"/>
      <c r="Q225" s="25" t="n">
        <v>349876</v>
      </c>
      <c r="R225" s="25" t="n">
        <v>1721953</v>
      </c>
      <c r="S225" s="25" t="n">
        <v>2341847</v>
      </c>
      <c r="T225" s="25">
        <f>IF(AND(R225="",S225=""),"",N(R225)+N(S225))</f>
        <v/>
      </c>
      <c r="U225" s="25" t="n"/>
      <c r="V225" s="26" t="inlineStr">
        <is>
          <t>IMDb</t>
        </is>
      </c>
      <c r="W225" s="26" t="inlineStr">
        <is>
          <t>FilmAffinity</t>
        </is>
      </c>
      <c r="X225" s="26" t="inlineStr">
        <is>
          <t>Letterboxd</t>
        </is>
      </c>
    </row>
    <row r="226">
      <c r="A226" t="inlineStr">
        <is>
          <t>p0225</t>
        </is>
      </c>
      <c r="B226" t="inlineStr">
        <is>
          <t>Que dios nos perdone</t>
        </is>
      </c>
      <c r="C226" t="inlineStr">
        <is>
          <t>Que Dios nos perdone</t>
        </is>
      </c>
      <c r="D226" s="4" t="n">
        <v>2016</v>
      </c>
      <c r="E226" s="4">
        <f>IF(D226="","",FLOOR(D226,10))</f>
        <v/>
      </c>
      <c r="F226" s="22" t="n">
        <v>125</v>
      </c>
      <c r="G226" s="23" t="n">
        <v>6.8</v>
      </c>
      <c r="H226" t="inlineStr">
        <is>
          <t>Rodrigo Sorogoyen</t>
        </is>
      </c>
      <c r="I226" t="inlineStr">
        <is>
          <t>España</t>
        </is>
      </c>
      <c r="J226" t="inlineStr">
        <is>
          <t>Thriller, Crimen</t>
        </is>
      </c>
      <c r="M226" s="6" t="n"/>
      <c r="O226" s="24" t="inlineStr"/>
      <c r="Q226" s="25" t="n">
        <v>45101</v>
      </c>
      <c r="R226" s="25" t="n">
        <v>1485338</v>
      </c>
      <c r="S226" s="25" t="n">
        <v>3369996</v>
      </c>
      <c r="T226" s="25">
        <f>IF(AND(R226="",S226=""),"",N(R226)+N(S226))</f>
        <v/>
      </c>
      <c r="U226" s="25" t="n"/>
      <c r="V226" s="26" t="inlineStr">
        <is>
          <t>IMDb</t>
        </is>
      </c>
      <c r="W226" s="26" t="inlineStr">
        <is>
          <t>FilmAffinity</t>
        </is>
      </c>
      <c r="X226" s="26" t="inlineStr">
        <is>
          <t>Letterboxd</t>
        </is>
      </c>
    </row>
    <row r="227">
      <c r="A227" t="inlineStr">
        <is>
          <t>p0226</t>
        </is>
      </c>
      <c r="B227" t="inlineStr">
        <is>
          <t>Contratiempo</t>
        </is>
      </c>
      <c r="C227" t="inlineStr">
        <is>
          <t>Contratiempo</t>
        </is>
      </c>
      <c r="D227" s="4" t="n">
        <v>2016</v>
      </c>
      <c r="E227" s="4">
        <f>IF(D227="","",FLOOR(D227,10))</f>
        <v/>
      </c>
      <c r="F227" s="22" t="n">
        <v>104</v>
      </c>
      <c r="G227" s="23" t="n">
        <v>6.7</v>
      </c>
      <c r="H227" t="inlineStr">
        <is>
          <t>Oriol Paulo</t>
        </is>
      </c>
      <c r="I227" t="inlineStr">
        <is>
          <t>España</t>
        </is>
      </c>
      <c r="J227" t="inlineStr">
        <is>
          <t>Thriller, Misterio, Crimen</t>
        </is>
      </c>
      <c r="M227" s="6" t="n"/>
      <c r="O227" s="24" t="inlineStr"/>
      <c r="Q227" s="25" t="n">
        <v>1146015</v>
      </c>
      <c r="R227" s="25" t="n">
        <v>3889025</v>
      </c>
      <c r="S227" s="25" t="n">
        <v>31191910</v>
      </c>
      <c r="T227" s="25">
        <f>IF(AND(R227="",S227=""),"",N(R227)+N(S227))</f>
        <v/>
      </c>
      <c r="U227" s="25" t="n"/>
      <c r="V227" s="26" t="inlineStr">
        <is>
          <t>IMDb</t>
        </is>
      </c>
      <c r="W227" s="26" t="inlineStr">
        <is>
          <t>FilmAffinity</t>
        </is>
      </c>
      <c r="X227" s="26" t="inlineStr">
        <is>
          <t>Letterboxd</t>
        </is>
      </c>
    </row>
    <row r="228">
      <c r="A228" t="inlineStr">
        <is>
          <t>p0227</t>
        </is>
      </c>
      <c r="B228" t="inlineStr">
        <is>
          <t>La Llegada</t>
        </is>
      </c>
      <c r="C228" t="inlineStr">
        <is>
          <t>Arrival</t>
        </is>
      </c>
      <c r="D228" s="4" t="n">
        <v>2016</v>
      </c>
      <c r="E228" s="4">
        <f>IF(D228="","",FLOOR(D228,10))</f>
        <v/>
      </c>
      <c r="F228" s="22" t="n">
        <v>116</v>
      </c>
      <c r="G228" s="23" t="n">
        <v>6.5</v>
      </c>
      <c r="H228" t="inlineStr">
        <is>
          <t>Denis Villeneuve</t>
        </is>
      </c>
      <c r="I228" t="inlineStr">
        <is>
          <t>Estados Unidos</t>
        </is>
      </c>
      <c r="J228" t="inlineStr">
        <is>
          <t>Ciencia ficción, Drama, Misterio</t>
        </is>
      </c>
      <c r="M228" s="6" t="n"/>
      <c r="O228" s="24" t="inlineStr"/>
      <c r="Q228" s="25" t="n">
        <v>24074047</v>
      </c>
      <c r="R228" s="25" t="n">
        <v>100546139</v>
      </c>
      <c r="S228" s="25" t="n">
        <v>113015100</v>
      </c>
      <c r="T228" s="25">
        <f>IF(AND(R228="",S228=""),"",N(R228)+N(S228))</f>
        <v/>
      </c>
      <c r="U228" s="25" t="n"/>
      <c r="V228" s="26" t="inlineStr">
        <is>
          <t>IMDb</t>
        </is>
      </c>
      <c r="W228" s="26" t="inlineStr">
        <is>
          <t>FilmAffinity</t>
        </is>
      </c>
      <c r="X228" s="26" t="inlineStr">
        <is>
          <t>Letterboxd</t>
        </is>
      </c>
    </row>
    <row r="229">
      <c r="A229" t="inlineStr">
        <is>
          <t>p0228</t>
        </is>
      </c>
      <c r="B229" t="inlineStr">
        <is>
          <t>¡Canta!</t>
        </is>
      </c>
      <c r="C229" t="inlineStr">
        <is>
          <t>Sing</t>
        </is>
      </c>
      <c r="D229" s="4" t="n">
        <v>2016</v>
      </c>
      <c r="E229" s="4">
        <f>IF(D229="","",FLOOR(D229,10))</f>
        <v/>
      </c>
      <c r="F229" s="22" t="n">
        <v>100</v>
      </c>
      <c r="G229" s="23" t="n">
        <v>6.4</v>
      </c>
      <c r="H229" t="inlineStr">
        <is>
          <t>Gareth Jennings / Christophe Lourdelet</t>
        </is>
      </c>
      <c r="I229" t="inlineStr">
        <is>
          <t>Estados Unidos</t>
        </is>
      </c>
      <c r="J229" t="inlineStr">
        <is>
          <t>Animación, Musical, Comedia</t>
        </is>
      </c>
      <c r="M229" s="6" t="n"/>
      <c r="O229" s="24" t="inlineStr"/>
      <c r="Q229" s="25" t="n"/>
      <c r="R229" s="25" t="n"/>
      <c r="S229" s="25" t="n"/>
      <c r="T229" s="25">
        <f>IF(AND(R229="",S229=""),"",N(R229)+N(S229))</f>
        <v/>
      </c>
      <c r="U229" s="25" t="n"/>
      <c r="V229" s="26" t="inlineStr">
        <is>
          <t>IMDb</t>
        </is>
      </c>
      <c r="W229" s="26" t="inlineStr">
        <is>
          <t>FilmAffinity</t>
        </is>
      </c>
      <c r="X229" s="26" t="inlineStr">
        <is>
          <t>Letterboxd</t>
        </is>
      </c>
    </row>
    <row r="230">
      <c r="A230" t="inlineStr">
        <is>
          <t>p0229</t>
        </is>
      </c>
      <c r="B230" t="inlineStr">
        <is>
          <t>Un Espía y Medio</t>
        </is>
      </c>
      <c r="C230" t="inlineStr">
        <is>
          <t>Central Intelligence</t>
        </is>
      </c>
      <c r="D230" s="4" t="n">
        <v>2016</v>
      </c>
      <c r="E230" s="4">
        <f>IF(D230="","",FLOOR(D230,10))</f>
        <v/>
      </c>
      <c r="F230" s="22" t="n">
        <v>114</v>
      </c>
      <c r="G230" s="23" t="n">
        <v>6.3</v>
      </c>
      <c r="H230" t="inlineStr">
        <is>
          <t>Rawson Marshall Thurber</t>
        </is>
      </c>
      <c r="I230" t="inlineStr">
        <is>
          <t>Estados Unidos</t>
        </is>
      </c>
      <c r="J230" t="inlineStr">
        <is>
          <t>Comedia, Acción</t>
        </is>
      </c>
      <c r="M230" s="6" t="n"/>
      <c r="O230" s="24" t="inlineStr"/>
      <c r="Q230" s="25" t="n">
        <v>35535250</v>
      </c>
      <c r="R230" s="25" t="n">
        <v>127440871</v>
      </c>
      <c r="S230" s="25" t="n">
        <v>89500000</v>
      </c>
      <c r="T230" s="25">
        <f>IF(AND(R230="",S230=""),"",N(R230)+N(S230))</f>
        <v/>
      </c>
      <c r="U230" s="25" t="n"/>
      <c r="V230" s="26" t="inlineStr">
        <is>
          <t>IMDb</t>
        </is>
      </c>
      <c r="W230" s="26" t="inlineStr">
        <is>
          <t>FilmAffinity</t>
        </is>
      </c>
      <c r="X230" s="26" t="inlineStr">
        <is>
          <t>Letterboxd</t>
        </is>
      </c>
    </row>
    <row r="231">
      <c r="A231" t="inlineStr">
        <is>
          <t>p0230</t>
        </is>
      </c>
      <c r="B231" t="inlineStr">
        <is>
          <t>Snowden</t>
        </is>
      </c>
      <c r="C231" t="inlineStr">
        <is>
          <t>Snowden</t>
        </is>
      </c>
      <c r="D231" s="4" t="n">
        <v>2016</v>
      </c>
      <c r="E231" s="4">
        <f>IF(D231="","",FLOOR(D231,10))</f>
        <v/>
      </c>
      <c r="F231" s="22" t="n">
        <v>134</v>
      </c>
      <c r="G231" s="23" t="n">
        <v>6.2</v>
      </c>
      <c r="H231" t="inlineStr">
        <is>
          <t>Oliver Stone</t>
        </is>
      </c>
      <c r="I231" t="inlineStr">
        <is>
          <t>Estados Unidos</t>
        </is>
      </c>
      <c r="J231" t="inlineStr">
        <is>
          <t>Biográfico, Thriller, Drama</t>
        </is>
      </c>
      <c r="M231" s="6" t="n"/>
      <c r="O231" s="24" t="inlineStr"/>
      <c r="Q231" s="25" t="n">
        <v>8000058</v>
      </c>
      <c r="R231" s="25" t="n">
        <v>21587519</v>
      </c>
      <c r="S231" s="25" t="n">
        <v>15769697</v>
      </c>
      <c r="T231" s="25">
        <f>IF(AND(R231="",S231=""),"",N(R231)+N(S231))</f>
        <v/>
      </c>
      <c r="U231" s="25" t="n"/>
      <c r="V231" s="26" t="inlineStr">
        <is>
          <t>IMDb</t>
        </is>
      </c>
      <c r="W231" s="26" t="inlineStr">
        <is>
          <t>FilmAffinity</t>
        </is>
      </c>
      <c r="X231" s="26" t="inlineStr">
        <is>
          <t>Letterboxd</t>
        </is>
      </c>
    </row>
    <row r="232">
      <c r="A232" t="inlineStr">
        <is>
          <t>p0231</t>
        </is>
      </c>
      <c r="B232" t="inlineStr">
        <is>
          <t>Dos Buenos Tipos</t>
        </is>
      </c>
      <c r="C232" t="inlineStr">
        <is>
          <t>The Nice Guys</t>
        </is>
      </c>
      <c r="D232" s="4" t="n">
        <v>2016</v>
      </c>
      <c r="E232" s="4">
        <f>IF(D232="","",FLOOR(D232,10))</f>
        <v/>
      </c>
      <c r="F232" s="22" t="n">
        <v>116</v>
      </c>
      <c r="G232" s="23" t="n">
        <v>6.2</v>
      </c>
      <c r="H232" t="inlineStr">
        <is>
          <t>Shane Black</t>
        </is>
      </c>
      <c r="I232" t="inlineStr">
        <is>
          <t>Estados Unidos</t>
        </is>
      </c>
      <c r="J232" t="inlineStr">
        <is>
          <t>Comedia, Crimen, Acción</t>
        </is>
      </c>
      <c r="M232" s="6" t="n"/>
      <c r="O232" s="24" t="inlineStr"/>
      <c r="Q232" s="25" t="n">
        <v>11203270</v>
      </c>
      <c r="R232" s="25" t="n">
        <v>36261763</v>
      </c>
      <c r="S232" s="25" t="n">
        <v>35000000</v>
      </c>
      <c r="T232" s="25">
        <f>IF(AND(R232="",S232=""),"",N(R232)+N(S232))</f>
        <v/>
      </c>
      <c r="U232" s="25" t="n"/>
      <c r="V232" s="26" t="inlineStr">
        <is>
          <t>IMDb</t>
        </is>
      </c>
      <c r="W232" s="26" t="inlineStr">
        <is>
          <t>FilmAffinity</t>
        </is>
      </c>
      <c r="X232" s="26" t="inlineStr">
        <is>
          <t>Letterboxd</t>
        </is>
      </c>
    </row>
    <row r="233">
      <c r="A233" t="inlineStr">
        <is>
          <t>p0232</t>
        </is>
      </c>
      <c r="B233" t="inlineStr">
        <is>
          <t>Rogue One: Una Historia de Star Wars</t>
        </is>
      </c>
      <c r="C233" t="inlineStr">
        <is>
          <t>Rogue One: A Star Wars Story</t>
        </is>
      </c>
      <c r="D233" s="4" t="n">
        <v>2016</v>
      </c>
      <c r="E233" s="4">
        <f>IF(D233="","",FLOOR(D233,10))</f>
        <v/>
      </c>
      <c r="F233" s="22" t="n">
        <v>133</v>
      </c>
      <c r="G233" s="23" t="n">
        <v>5.9</v>
      </c>
      <c r="H233" t="inlineStr">
        <is>
          <t>Gareth Edwards</t>
        </is>
      </c>
      <c r="I233" t="inlineStr">
        <is>
          <t>Estados Unidos</t>
        </is>
      </c>
      <c r="J233" t="inlineStr">
        <is>
          <t>Ciencia ficción, Aventura, Acción</t>
        </is>
      </c>
      <c r="K233" t="inlineStr">
        <is>
          <t>Star Wars</t>
        </is>
      </c>
      <c r="M233" s="6" t="n"/>
      <c r="O233" s="24" t="inlineStr"/>
      <c r="Q233" s="25" t="n">
        <v>155081681</v>
      </c>
      <c r="R233" s="25" t="n">
        <v>533539991</v>
      </c>
      <c r="S233" s="25" t="n">
        <v>525142151</v>
      </c>
      <c r="T233" s="25">
        <f>IF(AND(R233="",S233=""),"",N(R233)+N(S233))</f>
        <v/>
      </c>
      <c r="U233" s="25" t="n"/>
      <c r="V233" s="26" t="inlineStr">
        <is>
          <t>IMDb</t>
        </is>
      </c>
      <c r="W233" s="26" t="inlineStr">
        <is>
          <t>FilmAffinity</t>
        </is>
      </c>
      <c r="X233" s="26" t="inlineStr">
        <is>
          <t>Letterboxd</t>
        </is>
      </c>
    </row>
    <row r="234">
      <c r="A234" t="inlineStr">
        <is>
          <t>p0233</t>
        </is>
      </c>
      <c r="B234" t="inlineStr">
        <is>
          <t>Criando Ratas</t>
        </is>
      </c>
      <c r="C234" t="inlineStr">
        <is>
          <t>Criando ratas</t>
        </is>
      </c>
      <c r="D234" s="4" t="n">
        <v>2016</v>
      </c>
      <c r="E234" s="4">
        <f>IF(D234="","",FLOOR(D234,10))</f>
        <v/>
      </c>
      <c r="F234" s="22" t="n">
        <v>80</v>
      </c>
      <c r="G234" s="23" t="n">
        <v>5.8</v>
      </c>
      <c r="H234" t="inlineStr">
        <is>
          <t>Carlos Salado</t>
        </is>
      </c>
      <c r="I234" t="inlineStr">
        <is>
          <t>España</t>
        </is>
      </c>
      <c r="J234" t="inlineStr">
        <is>
          <t>Comedia, Crimen</t>
        </is>
      </c>
      <c r="M234" s="6" t="n"/>
      <c r="O234" s="24" t="inlineStr"/>
      <c r="Q234" s="25" t="n"/>
      <c r="R234" s="25" t="n"/>
      <c r="S234" s="25" t="n"/>
      <c r="T234" s="25">
        <f>IF(AND(R234="",S234=""),"",N(R234)+N(S234))</f>
        <v/>
      </c>
      <c r="U234" s="25" t="n"/>
      <c r="V234" s="26" t="inlineStr">
        <is>
          <t>IMDb</t>
        </is>
      </c>
      <c r="W234" s="26" t="inlineStr">
        <is>
          <t>FilmAffinity</t>
        </is>
      </c>
      <c r="X234" s="26" t="inlineStr">
        <is>
          <t>Letterboxd</t>
        </is>
      </c>
    </row>
    <row r="235">
      <c r="A235" t="inlineStr">
        <is>
          <t>p0234</t>
        </is>
      </c>
      <c r="B235" t="inlineStr">
        <is>
          <t>No respires</t>
        </is>
      </c>
      <c r="C235" t="inlineStr">
        <is>
          <t>Don't Breathe</t>
        </is>
      </c>
      <c r="D235" s="4" t="n">
        <v>2016</v>
      </c>
      <c r="E235" s="4">
        <f>IF(D235="","",FLOOR(D235,10))</f>
        <v/>
      </c>
      <c r="F235" s="22" t="n">
        <v>88</v>
      </c>
      <c r="G235" s="23" t="n">
        <v>5.6</v>
      </c>
      <c r="H235" t="inlineStr">
        <is>
          <t>Fede Álvarez</t>
        </is>
      </c>
      <c r="I235" t="inlineStr">
        <is>
          <t>Estados Unidos</t>
        </is>
      </c>
      <c r="J235" t="inlineStr">
        <is>
          <t>Terror, Thriller</t>
        </is>
      </c>
      <c r="M235" s="6" t="n"/>
      <c r="O235" s="24" t="inlineStr"/>
      <c r="Q235" s="25" t="n">
        <v>26411706</v>
      </c>
      <c r="R235" s="25" t="n">
        <v>89217875</v>
      </c>
      <c r="S235" s="25" t="n">
        <v>68543127</v>
      </c>
      <c r="T235" s="25">
        <f>IF(AND(R235="",S235=""),"",N(R235)+N(S235))</f>
        <v/>
      </c>
      <c r="U235" s="25" t="n"/>
      <c r="V235" s="26" t="inlineStr">
        <is>
          <t>IMDb</t>
        </is>
      </c>
      <c r="W235" s="26" t="inlineStr">
        <is>
          <t>FilmAffinity</t>
        </is>
      </c>
      <c r="X235" s="26" t="inlineStr">
        <is>
          <t>Letterboxd</t>
        </is>
      </c>
    </row>
    <row r="236">
      <c r="A236" t="inlineStr">
        <is>
          <t>p0235</t>
        </is>
      </c>
      <c r="B236" t="inlineStr">
        <is>
          <t>Secuestro</t>
        </is>
      </c>
      <c r="C236" t="inlineStr">
        <is>
          <t>Secuestro</t>
        </is>
      </c>
      <c r="D236" s="4" t="n">
        <v>2016</v>
      </c>
      <c r="E236" s="4">
        <f>IF(D236="","",FLOOR(D236,10))</f>
        <v/>
      </c>
      <c r="F236" s="22" t="n">
        <v>105</v>
      </c>
      <c r="G236" s="23" t="n">
        <v>5.6</v>
      </c>
      <c r="H236" t="inlineStr">
        <is>
          <t>Mar Taragona</t>
        </is>
      </c>
      <c r="I236" t="inlineStr">
        <is>
          <t>España</t>
        </is>
      </c>
      <c r="J236" t="inlineStr">
        <is>
          <t>Thriller</t>
        </is>
      </c>
      <c r="M236" s="6" t="n"/>
      <c r="O236" s="24" t="inlineStr"/>
      <c r="Q236" s="25" t="n"/>
      <c r="R236" s="25" t="n">
        <v>992626</v>
      </c>
      <c r="S236" s="25" t="n">
        <v>1143304</v>
      </c>
      <c r="T236" s="25">
        <f>IF(AND(R236="",S236=""),"",N(R236)+N(S236))</f>
        <v/>
      </c>
      <c r="U236" s="25" t="n"/>
      <c r="V236" s="26" t="inlineStr">
        <is>
          <t>IMDb</t>
        </is>
      </c>
      <c r="W236" s="26" t="inlineStr">
        <is>
          <t>FilmAffinity</t>
        </is>
      </c>
      <c r="X236" s="26" t="inlineStr">
        <is>
          <t>Letterboxd</t>
        </is>
      </c>
    </row>
    <row r="237">
      <c r="A237" t="inlineStr">
        <is>
          <t>p0236</t>
        </is>
      </c>
      <c r="B237" t="inlineStr">
        <is>
          <t>La Purga: Election Year</t>
        </is>
      </c>
      <c r="C237" t="inlineStr">
        <is>
          <t>The Purge: Election Year</t>
        </is>
      </c>
      <c r="D237" s="4" t="n">
        <v>2016</v>
      </c>
      <c r="E237" s="4">
        <f>IF(D237="","",FLOOR(D237,10))</f>
        <v/>
      </c>
      <c r="F237" s="22" t="n">
        <v>105</v>
      </c>
      <c r="G237" s="23" t="n">
        <v>5.1</v>
      </c>
      <c r="H237" t="inlineStr">
        <is>
          <t>James Demonaco</t>
        </is>
      </c>
      <c r="I237" t="inlineStr">
        <is>
          <t>Estados Unidos</t>
        </is>
      </c>
      <c r="J237" t="inlineStr">
        <is>
          <t>Terror, Acción</t>
        </is>
      </c>
      <c r="K237" t="inlineStr">
        <is>
          <t>La Purga</t>
        </is>
      </c>
      <c r="M237" s="6" t="n"/>
      <c r="O237" s="24" t="inlineStr"/>
      <c r="Q237" s="25" t="n">
        <v>31515110</v>
      </c>
      <c r="R237" s="25" t="n">
        <v>79213375</v>
      </c>
      <c r="S237" s="25" t="n">
        <v>39374505</v>
      </c>
      <c r="T237" s="25">
        <f>IF(AND(R237="",S237=""),"",N(R237)+N(S237))</f>
        <v/>
      </c>
      <c r="U237" s="25" t="n"/>
      <c r="V237" s="26" t="inlineStr">
        <is>
          <t>IMDb</t>
        </is>
      </c>
      <c r="W237" s="26" t="inlineStr">
        <is>
          <t>FilmAffinity</t>
        </is>
      </c>
      <c r="X237" s="26" t="inlineStr">
        <is>
          <t>Letterboxd</t>
        </is>
      </c>
    </row>
    <row r="238">
      <c r="A238" t="inlineStr">
        <is>
          <t>p0237</t>
        </is>
      </c>
      <c r="B238" t="inlineStr">
        <is>
          <t>Ice Age: El Gran Cataclismo</t>
        </is>
      </c>
      <c r="C238" t="inlineStr">
        <is>
          <t>Ice Age: Collision Course</t>
        </is>
      </c>
      <c r="D238" s="4" t="n">
        <v>2016</v>
      </c>
      <c r="E238" s="4">
        <f>IF(D238="","",FLOOR(D238,10))</f>
        <v/>
      </c>
      <c r="F238" s="22" t="n">
        <v>94</v>
      </c>
      <c r="G238" s="23" t="n">
        <v>5</v>
      </c>
      <c r="H238" t="inlineStr">
        <is>
          <t>Mike Thurmeier / Galen T. Chu</t>
        </is>
      </c>
      <c r="I238" t="inlineStr">
        <is>
          <t>Estados Unidos</t>
        </is>
      </c>
      <c r="J238" t="inlineStr">
        <is>
          <t>Animación, Comedia, Familiar</t>
        </is>
      </c>
      <c r="K238" t="inlineStr">
        <is>
          <t>Ice Age</t>
        </is>
      </c>
      <c r="M238" s="6" t="n"/>
      <c r="O238" s="24" t="inlineStr"/>
      <c r="Q238" s="25" t="n"/>
      <c r="R238" s="25" t="n"/>
      <c r="S238" s="25" t="n"/>
      <c r="T238" s="25">
        <f>IF(AND(R238="",S238=""),"",N(R238)+N(S238))</f>
        <v/>
      </c>
      <c r="U238" s="25" t="n"/>
      <c r="V238" s="26" t="inlineStr">
        <is>
          <t>IMDb</t>
        </is>
      </c>
      <c r="W238" s="26" t="inlineStr">
        <is>
          <t>FilmAffinity</t>
        </is>
      </c>
      <c r="X238" s="26" t="inlineStr">
        <is>
          <t>Letterboxd</t>
        </is>
      </c>
    </row>
    <row r="239">
      <c r="A239" t="inlineStr">
        <is>
          <t>p0238</t>
        </is>
      </c>
      <c r="B239" t="inlineStr">
        <is>
          <t>Cien años de perdón</t>
        </is>
      </c>
      <c r="C239" t="inlineStr">
        <is>
          <t>Cien años de perdón</t>
        </is>
      </c>
      <c r="D239" s="4" t="n">
        <v>2016</v>
      </c>
      <c r="E239" s="4">
        <f>IF(D239="","",FLOOR(D239,10))</f>
        <v/>
      </c>
      <c r="F239" s="22" t="n">
        <v>97</v>
      </c>
      <c r="G239" s="23" t="n">
        <v>5</v>
      </c>
      <c r="H239" t="inlineStr">
        <is>
          <t>Daniel Calparsoro</t>
        </is>
      </c>
      <c r="I239" t="inlineStr">
        <is>
          <t>España</t>
        </is>
      </c>
      <c r="J239" t="inlineStr">
        <is>
          <t>Thriller, Crimen</t>
        </is>
      </c>
      <c r="M239" s="6" t="n"/>
      <c r="O239" s="24" t="inlineStr"/>
      <c r="Q239" s="25" t="n">
        <v>1747601</v>
      </c>
      <c r="R239" s="25" t="n">
        <v>7490977</v>
      </c>
      <c r="S239" s="25" t="n">
        <v>9041187</v>
      </c>
      <c r="T239" s="25">
        <f>IF(AND(R239="",S239=""),"",N(R239)+N(S239))</f>
        <v/>
      </c>
      <c r="U239" s="25" t="n"/>
      <c r="V239" s="26" t="inlineStr">
        <is>
          <t>IMDb</t>
        </is>
      </c>
      <c r="W239" s="26" t="inlineStr">
        <is>
          <t>FilmAffinity</t>
        </is>
      </c>
      <c r="X239" s="26" t="inlineStr">
        <is>
          <t>Letterboxd</t>
        </is>
      </c>
    </row>
    <row r="240">
      <c r="A240" t="inlineStr">
        <is>
          <t>p0239</t>
        </is>
      </c>
      <c r="B240" t="inlineStr">
        <is>
          <t>Bridget Jones' Baby</t>
        </is>
      </c>
      <c r="C240" t="inlineStr">
        <is>
          <t>Bridget Jones's Baby</t>
        </is>
      </c>
      <c r="D240" s="4" t="n">
        <v>2016</v>
      </c>
      <c r="E240" s="4">
        <f>IF(D240="","",FLOOR(D240,10))</f>
        <v/>
      </c>
      <c r="F240" s="22" t="n">
        <v>122</v>
      </c>
      <c r="G240" s="23" t="n">
        <v>4.6</v>
      </c>
      <c r="H240" t="inlineStr">
        <is>
          <t>Sharon Maguire</t>
        </is>
      </c>
      <c r="I240" t="inlineStr">
        <is>
          <t>Estados Unidos</t>
        </is>
      </c>
      <c r="J240" t="inlineStr">
        <is>
          <t>Comedia, Romance</t>
        </is>
      </c>
      <c r="M240" s="6" t="n"/>
      <c r="O240" s="24" t="inlineStr"/>
      <c r="Q240" s="25" t="n">
        <v>8571785</v>
      </c>
      <c r="R240" s="25" t="n">
        <v>24252420</v>
      </c>
      <c r="S240" s="25" t="n">
        <v>187700000</v>
      </c>
      <c r="T240" s="25">
        <f>IF(AND(R240="",S240=""),"",N(R240)+N(S240))</f>
        <v/>
      </c>
      <c r="U240" s="25" t="n"/>
      <c r="V240" s="26" t="inlineStr">
        <is>
          <t>IMDb</t>
        </is>
      </c>
      <c r="W240" s="26" t="inlineStr">
        <is>
          <t>FilmAffinity</t>
        </is>
      </c>
      <c r="X240" s="26" t="inlineStr">
        <is>
          <t>Letterboxd</t>
        </is>
      </c>
    </row>
    <row r="241">
      <c r="A241" t="inlineStr">
        <is>
          <t>p0240</t>
        </is>
      </c>
      <c r="B241" t="inlineStr">
        <is>
          <t>La Fiesta de las Salchichas</t>
        </is>
      </c>
      <c r="C241" t="inlineStr">
        <is>
          <t>Sausage Party</t>
        </is>
      </c>
      <c r="D241" s="4" t="n">
        <v>2016</v>
      </c>
      <c r="E241" s="4">
        <f>IF(D241="","",FLOOR(D241,10))</f>
        <v/>
      </c>
      <c r="F241" s="22" t="n">
        <v>89</v>
      </c>
      <c r="G241" s="23" t="n">
        <v>4.6</v>
      </c>
      <c r="H241" t="inlineStr">
        <is>
          <t>Conrad Vernon / Greg Tiernan</t>
        </is>
      </c>
      <c r="I241" t="inlineStr">
        <is>
          <t>Estados Unidos</t>
        </is>
      </c>
      <c r="J241" t="inlineStr">
        <is>
          <t>Animación, Comedia</t>
        </is>
      </c>
      <c r="M241" s="6" t="n"/>
      <c r="O241" s="24" t="inlineStr"/>
      <c r="Q241" s="25" t="n">
        <v>34263534</v>
      </c>
      <c r="R241" s="25" t="n">
        <v>97685686</v>
      </c>
      <c r="S241" s="25" t="n">
        <v>43019636</v>
      </c>
      <c r="T241" s="25">
        <f>IF(AND(R241="",S241=""),"",N(R241)+N(S241))</f>
        <v/>
      </c>
      <c r="U241" s="25" t="n"/>
      <c r="V241" s="26" t="inlineStr">
        <is>
          <t>IMDb</t>
        </is>
      </c>
      <c r="W241" s="26" t="inlineStr">
        <is>
          <t>FilmAffinity</t>
        </is>
      </c>
      <c r="X241" s="26" t="inlineStr">
        <is>
          <t>Letterboxd</t>
        </is>
      </c>
    </row>
    <row r="242">
      <c r="A242" t="inlineStr">
        <is>
          <t>p0241</t>
        </is>
      </c>
      <c r="B242" t="inlineStr">
        <is>
          <t>Doctor Strange</t>
        </is>
      </c>
      <c r="C242" t="inlineStr">
        <is>
          <t>Doctor Strange</t>
        </is>
      </c>
      <c r="D242" s="4" t="n">
        <v>2016</v>
      </c>
      <c r="E242" s="4">
        <f>IF(D242="","",FLOOR(D242,10))</f>
        <v/>
      </c>
      <c r="F242" s="22" t="n">
        <v>115</v>
      </c>
      <c r="G242" s="23" t="n">
        <v>4.6</v>
      </c>
      <c r="H242" t="inlineStr">
        <is>
          <t>Scott Derrickson</t>
        </is>
      </c>
      <c r="I242" t="inlineStr">
        <is>
          <t>Estados Unidos</t>
        </is>
      </c>
      <c r="J242" t="inlineStr">
        <is>
          <t>Superhéroes, Fantasía</t>
        </is>
      </c>
      <c r="K242" t="inlineStr">
        <is>
          <t>UCM</t>
        </is>
      </c>
      <c r="L242" t="inlineStr">
        <is>
          <t>Fase 3 · Saga del Infinito</t>
        </is>
      </c>
      <c r="M242" s="6" t="n"/>
      <c r="O242" s="24" t="inlineStr"/>
      <c r="Q242" s="25" t="n">
        <v>85058311</v>
      </c>
      <c r="R242" s="25" t="n">
        <v>232641920</v>
      </c>
      <c r="S242" s="25" t="n">
        <v>445154156</v>
      </c>
      <c r="T242" s="25">
        <f>IF(AND(R242="",S242=""),"",N(R242)+N(S242))</f>
        <v/>
      </c>
      <c r="U242" s="25" t="n">
        <v>165000000</v>
      </c>
      <c r="V242" s="26" t="inlineStr">
        <is>
          <t>IMDb</t>
        </is>
      </c>
      <c r="W242" s="26" t="inlineStr">
        <is>
          <t>FilmAffinity</t>
        </is>
      </c>
      <c r="X242" s="26" t="inlineStr">
        <is>
          <t>Letterboxd</t>
        </is>
      </c>
    </row>
    <row r="243">
      <c r="A243" t="inlineStr">
        <is>
          <t>p0242</t>
        </is>
      </c>
      <c r="B243" t="inlineStr">
        <is>
          <t>The Do-Over</t>
        </is>
      </c>
      <c r="C243" t="inlineStr">
        <is>
          <t>The Do-Over</t>
        </is>
      </c>
      <c r="D243" s="4" t="n">
        <v>2016</v>
      </c>
      <c r="E243" s="4">
        <f>IF(D243="","",FLOOR(D243,10))</f>
        <v/>
      </c>
      <c r="F243" s="22" t="n">
        <v>108</v>
      </c>
      <c r="G243" s="23" t="n">
        <v>4</v>
      </c>
      <c r="H243" t="inlineStr">
        <is>
          <t>Steven Brill</t>
        </is>
      </c>
      <c r="I243" t="inlineStr">
        <is>
          <t>Estados Unidos</t>
        </is>
      </c>
      <c r="J243" t="inlineStr">
        <is>
          <t>Comedia, Acción</t>
        </is>
      </c>
      <c r="M243" s="6" t="n"/>
      <c r="O243" s="24" t="inlineStr"/>
      <c r="Q243" s="25" t="n"/>
      <c r="R243" s="25" t="n"/>
      <c r="S243" s="25" t="n"/>
      <c r="T243" s="25">
        <f>IF(AND(R243="",S243=""),"",N(R243)+N(S243))</f>
        <v/>
      </c>
      <c r="U243" s="25" t="n"/>
      <c r="V243" s="26" t="inlineStr">
        <is>
          <t>IMDb</t>
        </is>
      </c>
      <c r="W243" s="26" t="inlineStr">
        <is>
          <t>FilmAffinity</t>
        </is>
      </c>
      <c r="X243" s="26" t="inlineStr">
        <is>
          <t>Letterboxd</t>
        </is>
      </c>
    </row>
    <row r="244">
      <c r="A244" t="inlineStr">
        <is>
          <t>p0243</t>
        </is>
      </c>
      <c r="B244" t="inlineStr">
        <is>
          <t>Terrifier</t>
        </is>
      </c>
      <c r="C244" t="inlineStr">
        <is>
          <t>Terrifier</t>
        </is>
      </c>
      <c r="D244" s="4" t="n">
        <v>2016</v>
      </c>
      <c r="E244" s="4">
        <f>IF(D244="","",FLOOR(D244,10))</f>
        <v/>
      </c>
      <c r="F244" s="22" t="n">
        <v>85</v>
      </c>
      <c r="G244" s="23" t="n">
        <v>3.5</v>
      </c>
      <c r="H244" t="inlineStr">
        <is>
          <t>Damien Leone</t>
        </is>
      </c>
      <c r="I244" t="inlineStr">
        <is>
          <t>Estados Unidos</t>
        </is>
      </c>
      <c r="J244" t="inlineStr">
        <is>
          <t>Terror</t>
        </is>
      </c>
      <c r="M244" s="6" t="n"/>
      <c r="O244" s="24" t="inlineStr"/>
      <c r="Q244" s="25" t="n"/>
      <c r="R244" s="25" t="n"/>
      <c r="S244" s="25" t="n"/>
      <c r="T244" s="25">
        <f>IF(AND(R244="",S244=""),"",N(R244)+N(S244))</f>
        <v/>
      </c>
      <c r="U244" s="25" t="n"/>
      <c r="V244" s="26" t="inlineStr">
        <is>
          <t>IMDb</t>
        </is>
      </c>
      <c r="W244" s="26" t="inlineStr">
        <is>
          <t>FilmAffinity</t>
        </is>
      </c>
      <c r="X244" s="26" t="inlineStr">
        <is>
          <t>Letterboxd</t>
        </is>
      </c>
    </row>
    <row r="245">
      <c r="A245" t="inlineStr">
        <is>
          <t>p0244</t>
        </is>
      </c>
      <c r="B245" t="inlineStr">
        <is>
          <t>Escuadrón suicida</t>
        </is>
      </c>
      <c r="C245" t="inlineStr">
        <is>
          <t>Suicide Squad</t>
        </is>
      </c>
      <c r="D245" s="4" t="n">
        <v>2016</v>
      </c>
      <c r="E245" s="4">
        <f>IF(D245="","",FLOOR(D245,10))</f>
        <v/>
      </c>
      <c r="F245" s="22" t="n">
        <v>123</v>
      </c>
      <c r="G245" s="23" t="n">
        <v>3</v>
      </c>
      <c r="H245" t="inlineStr">
        <is>
          <t>David Ayer</t>
        </is>
      </c>
      <c r="I245" t="inlineStr">
        <is>
          <t>Estados Unidos</t>
        </is>
      </c>
      <c r="J245" t="inlineStr">
        <is>
          <t>Superhéroes, Acción</t>
        </is>
      </c>
      <c r="M245" s="6" t="n"/>
      <c r="O245" s="24" t="inlineStr"/>
      <c r="Q245" s="25" t="n"/>
      <c r="R245" s="25" t="n"/>
      <c r="S245" s="25" t="n"/>
      <c r="T245" s="25">
        <f>IF(AND(R245="",S245=""),"",N(R245)+N(S245))</f>
        <v/>
      </c>
      <c r="U245" s="25" t="n"/>
      <c r="V245" s="26" t="inlineStr">
        <is>
          <t>IMDb</t>
        </is>
      </c>
      <c r="W245" s="26" t="inlineStr">
        <is>
          <t>FilmAffinity</t>
        </is>
      </c>
      <c r="X245" s="26" t="inlineStr">
        <is>
          <t>Letterboxd</t>
        </is>
      </c>
    </row>
    <row r="246">
      <c r="A246" t="inlineStr">
        <is>
          <t>p0245</t>
        </is>
      </c>
      <c r="B246" t="inlineStr">
        <is>
          <t>Villaviciosa de al lado</t>
        </is>
      </c>
      <c r="C246" t="inlineStr">
        <is>
          <t>Villaviciosa de al lado</t>
        </is>
      </c>
      <c r="D246" s="4" t="n">
        <v>2016</v>
      </c>
      <c r="E246" s="4">
        <f>IF(D246="","",FLOOR(D246,10))</f>
        <v/>
      </c>
      <c r="F246" s="22" t="n">
        <v>90</v>
      </c>
      <c r="G246" s="23" t="n">
        <v>3</v>
      </c>
      <c r="H246" t="inlineStr">
        <is>
          <t>Nacho G. Velilla</t>
        </is>
      </c>
      <c r="I246" t="inlineStr">
        <is>
          <t>España</t>
        </is>
      </c>
      <c r="J246" t="inlineStr">
        <is>
          <t>Comedia</t>
        </is>
      </c>
      <c r="M246" s="6" t="n"/>
      <c r="O246" s="24" t="inlineStr"/>
      <c r="Q246" s="25" t="n"/>
      <c r="R246" s="25" t="n"/>
      <c r="S246" s="25" t="n"/>
      <c r="T246" s="25">
        <f>IF(AND(R246="",S246=""),"",N(R246)+N(S246))</f>
        <v/>
      </c>
      <c r="U246" s="25" t="n"/>
      <c r="V246" s="26" t="inlineStr">
        <is>
          <t>IMDb</t>
        </is>
      </c>
      <c r="W246" s="26" t="inlineStr">
        <is>
          <t>FilmAffinity</t>
        </is>
      </c>
      <c r="X246" s="26" t="inlineStr">
        <is>
          <t>Letterboxd</t>
        </is>
      </c>
    </row>
    <row r="247">
      <c r="A247" t="inlineStr">
        <is>
          <t>p0246</t>
        </is>
      </c>
      <c r="B247" t="inlineStr">
        <is>
          <t>El pregón</t>
        </is>
      </c>
      <c r="C247" t="inlineStr">
        <is>
          <t>El pregón</t>
        </is>
      </c>
      <c r="D247" s="4" t="n">
        <v>2016</v>
      </c>
      <c r="E247" s="4">
        <f>IF(D247="","",FLOOR(D247,10))</f>
        <v/>
      </c>
      <c r="F247" s="22" t="n">
        <v>85</v>
      </c>
      <c r="G247" s="23" t="n">
        <v>2.8</v>
      </c>
      <c r="H247" t="inlineStr">
        <is>
          <t>Dani de la Orden</t>
        </is>
      </c>
      <c r="I247" t="inlineStr">
        <is>
          <t>España</t>
        </is>
      </c>
      <c r="J247" t="inlineStr">
        <is>
          <t>Comedia</t>
        </is>
      </c>
      <c r="M247" s="6" t="n"/>
      <c r="O247" s="24" t="inlineStr"/>
      <c r="Q247" s="25" t="n"/>
      <c r="R247" s="25" t="n"/>
      <c r="S247" s="25" t="n"/>
      <c r="T247" s="25">
        <f>IF(AND(R247="",S247=""),"",N(R247)+N(S247))</f>
        <v/>
      </c>
      <c r="U247" s="25" t="n"/>
      <c r="V247" s="26" t="inlineStr">
        <is>
          <t>IMDb</t>
        </is>
      </c>
      <c r="W247" s="26" t="inlineStr">
        <is>
          <t>FilmAffinity</t>
        </is>
      </c>
      <c r="X247" s="26" t="inlineStr">
        <is>
          <t>Letterboxd</t>
        </is>
      </c>
    </row>
    <row r="248">
      <c r="A248" t="inlineStr">
        <is>
          <t>p0247</t>
        </is>
      </c>
      <c r="B248" t="inlineStr">
        <is>
          <t>Cuerpo de élite</t>
        </is>
      </c>
      <c r="C248" t="inlineStr">
        <is>
          <t>Cuerpo de élite</t>
        </is>
      </c>
      <c r="D248" s="4" t="n">
        <v>2016</v>
      </c>
      <c r="E248" s="4">
        <f>IF(D248="","",FLOOR(D248,10))</f>
        <v/>
      </c>
      <c r="F248" s="22" t="n">
        <v>97</v>
      </c>
      <c r="G248" s="23" t="n">
        <v>1.5</v>
      </c>
      <c r="H248" t="inlineStr">
        <is>
          <t>Joaquín Mazón</t>
        </is>
      </c>
      <c r="I248" t="inlineStr">
        <is>
          <t>España</t>
        </is>
      </c>
      <c r="J248" t="inlineStr">
        <is>
          <t>Comedia</t>
        </is>
      </c>
      <c r="M248" s="6" t="n"/>
      <c r="O248" s="24" t="inlineStr"/>
      <c r="Q248" s="25" t="n"/>
      <c r="R248" s="25" t="n"/>
      <c r="S248" s="25" t="n"/>
      <c r="T248" s="25">
        <f>IF(AND(R248="",S248=""),"",N(R248)+N(S248))</f>
        <v/>
      </c>
      <c r="U248" s="25" t="n"/>
      <c r="V248" s="26" t="inlineStr">
        <is>
          <t>IMDb</t>
        </is>
      </c>
      <c r="W248" s="26" t="inlineStr">
        <is>
          <t>FilmAffinity</t>
        </is>
      </c>
      <c r="X248" s="26" t="inlineStr">
        <is>
          <t>Letterboxd</t>
        </is>
      </c>
    </row>
    <row r="249">
      <c r="A249" t="inlineStr">
        <is>
          <t>p0248</t>
        </is>
      </c>
      <c r="B249" t="inlineStr">
        <is>
          <t>Inside Out</t>
        </is>
      </c>
      <c r="C249" t="inlineStr">
        <is>
          <t>Inside Out</t>
        </is>
      </c>
      <c r="D249" s="4" t="n">
        <v>2015</v>
      </c>
      <c r="E249" s="4">
        <f>IF(D249="","",FLOOR(D249,10))</f>
        <v/>
      </c>
      <c r="F249" s="22" t="n">
        <v>94</v>
      </c>
      <c r="G249" s="23" t="n">
        <v>8</v>
      </c>
      <c r="H249" t="inlineStr">
        <is>
          <t>Pete Docter / Ronaldo del Carmen</t>
        </is>
      </c>
      <c r="I249" t="inlineStr">
        <is>
          <t>Estados Unidos</t>
        </is>
      </c>
      <c r="J249" t="inlineStr">
        <is>
          <t>Animación, Comedia, Familiar</t>
        </is>
      </c>
      <c r="K249" t="inlineStr">
        <is>
          <t>Inside Out</t>
        </is>
      </c>
      <c r="M249" s="6" t="n"/>
      <c r="O249" s="24" t="inlineStr"/>
      <c r="Q249" s="25" t="n"/>
      <c r="R249" s="25" t="n"/>
      <c r="S249" s="25" t="n"/>
      <c r="T249" s="25">
        <f>IF(AND(R249="",S249=""),"",N(R249)+N(S249))</f>
        <v/>
      </c>
      <c r="U249" s="25" t="n"/>
      <c r="V249" s="26" t="inlineStr">
        <is>
          <t>IMDb</t>
        </is>
      </c>
      <c r="W249" s="26" t="inlineStr">
        <is>
          <t>FilmAffinity</t>
        </is>
      </c>
      <c r="X249" s="26" t="inlineStr">
        <is>
          <t>Letterboxd</t>
        </is>
      </c>
    </row>
    <row r="250">
      <c r="A250" t="inlineStr">
        <is>
          <t>p0249</t>
        </is>
      </c>
      <c r="B250" t="inlineStr">
        <is>
          <t>Spotlight</t>
        </is>
      </c>
      <c r="C250" t="inlineStr">
        <is>
          <t>Spotlight</t>
        </is>
      </c>
      <c r="D250" s="4" t="n">
        <v>2015</v>
      </c>
      <c r="E250" s="4">
        <f>IF(D250="","",FLOOR(D250,10))</f>
        <v/>
      </c>
      <c r="F250" s="22" t="n">
        <v>121</v>
      </c>
      <c r="G250" s="23" t="n">
        <v>8</v>
      </c>
      <c r="H250" t="inlineStr">
        <is>
          <t>Tom McCarthy</t>
        </is>
      </c>
      <c r="I250" t="inlineStr">
        <is>
          <t>Estados Unidos</t>
        </is>
      </c>
      <c r="J250" t="inlineStr">
        <is>
          <t>Drama, Histórico</t>
        </is>
      </c>
      <c r="M250" s="6" t="n"/>
      <c r="O250" s="24" t="inlineStr"/>
      <c r="Q250" s="25" t="n"/>
      <c r="R250" s="25" t="n"/>
      <c r="S250" s="25" t="n"/>
      <c r="T250" s="25">
        <f>IF(AND(R250="",S250=""),"",N(R250)+N(S250))</f>
        <v/>
      </c>
      <c r="U250" s="25" t="n"/>
      <c r="V250" s="26" t="inlineStr">
        <is>
          <t>IMDb</t>
        </is>
      </c>
      <c r="W250" s="26" t="inlineStr">
        <is>
          <t>FilmAffinity</t>
        </is>
      </c>
      <c r="X250" s="26" t="inlineStr">
        <is>
          <t>Letterboxd</t>
        </is>
      </c>
    </row>
    <row r="251">
      <c r="A251" t="inlineStr">
        <is>
          <t>p0250</t>
        </is>
      </c>
      <c r="B251" t="inlineStr">
        <is>
          <t>La Habitación</t>
        </is>
      </c>
      <c r="C251" t="inlineStr">
        <is>
          <t>Room</t>
        </is>
      </c>
      <c r="D251" s="4" t="n">
        <v>2015</v>
      </c>
      <c r="E251" s="4">
        <f>IF(D251="","",FLOOR(D251,10))</f>
        <v/>
      </c>
      <c r="F251" s="22" t="n">
        <v>118</v>
      </c>
      <c r="G251" s="23" t="n">
        <v>7.9</v>
      </c>
      <c r="H251" t="inlineStr">
        <is>
          <t>Lenny Abrahamson</t>
        </is>
      </c>
      <c r="I251" t="inlineStr">
        <is>
          <t>Irlanda</t>
        </is>
      </c>
      <c r="J251" t="inlineStr">
        <is>
          <t>Drama</t>
        </is>
      </c>
      <c r="M251" s="6" t="n"/>
      <c r="O251" s="24" t="inlineStr"/>
      <c r="Q251" s="25" t="n"/>
      <c r="R251" s="25" t="n"/>
      <c r="S251" s="25" t="n"/>
      <c r="T251" s="25">
        <f>IF(AND(R251="",S251=""),"",N(R251)+N(S251))</f>
        <v/>
      </c>
      <c r="U251" s="25" t="n"/>
      <c r="V251" s="26" t="inlineStr">
        <is>
          <t>IMDb</t>
        </is>
      </c>
      <c r="W251" s="26" t="inlineStr">
        <is>
          <t>FilmAffinity</t>
        </is>
      </c>
      <c r="X251" s="26" t="inlineStr">
        <is>
          <t>Letterboxd</t>
        </is>
      </c>
    </row>
    <row r="252">
      <c r="A252" t="inlineStr">
        <is>
          <t>p0251</t>
        </is>
      </c>
      <c r="B252" t="inlineStr">
        <is>
          <t>Mad Max: Fury Road</t>
        </is>
      </c>
      <c r="C252" t="inlineStr">
        <is>
          <t>Mad Max: Fury Road</t>
        </is>
      </c>
      <c r="D252" s="4" t="n">
        <v>2015</v>
      </c>
      <c r="E252" s="4">
        <f>IF(D252="","",FLOOR(D252,10))</f>
        <v/>
      </c>
      <c r="F252" s="22" t="n">
        <v>120</v>
      </c>
      <c r="G252" s="23" t="n">
        <v>7.7</v>
      </c>
      <c r="H252" t="inlineStr">
        <is>
          <t>George Miller</t>
        </is>
      </c>
      <c r="I252" t="inlineStr">
        <is>
          <t>Australia</t>
        </is>
      </c>
      <c r="J252" t="inlineStr">
        <is>
          <t>Acción, Ciencia ficción, Aventura</t>
        </is>
      </c>
      <c r="M252" s="6" t="n"/>
      <c r="O252" s="24" t="inlineStr"/>
      <c r="Q252" s="25" t="n"/>
      <c r="R252" s="25" t="n"/>
      <c r="S252" s="25" t="n"/>
      <c r="T252" s="25">
        <f>IF(AND(R252="",S252=""),"",N(R252)+N(S252))</f>
        <v/>
      </c>
      <c r="U252" s="25" t="n"/>
      <c r="V252" s="26" t="inlineStr">
        <is>
          <t>IMDb</t>
        </is>
      </c>
      <c r="W252" s="26" t="inlineStr">
        <is>
          <t>FilmAffinity</t>
        </is>
      </c>
      <c r="X252" s="26" t="inlineStr">
        <is>
          <t>Letterboxd</t>
        </is>
      </c>
    </row>
    <row r="253">
      <c r="A253" t="inlineStr">
        <is>
          <t>p0252</t>
        </is>
      </c>
      <c r="B253" t="inlineStr">
        <is>
          <t>El Renacido</t>
        </is>
      </c>
      <c r="C253" t="inlineStr">
        <is>
          <t>The Revenant</t>
        </is>
      </c>
      <c r="D253" s="4" t="n">
        <v>2015</v>
      </c>
      <c r="E253" s="4">
        <f>IF(D253="","",FLOOR(D253,10))</f>
        <v/>
      </c>
      <c r="F253" s="22" t="n">
        <v>156</v>
      </c>
      <c r="G253" s="23" t="n">
        <v>7.6</v>
      </c>
      <c r="H253" t="inlineStr">
        <is>
          <t>Alejandro González Iñárritu</t>
        </is>
      </c>
      <c r="I253" t="inlineStr">
        <is>
          <t>Estados Unidos</t>
        </is>
      </c>
      <c r="J253" t="inlineStr">
        <is>
          <t>Western, Aventura, Drama</t>
        </is>
      </c>
      <c r="M253" s="6" t="n"/>
      <c r="O253" s="24" t="inlineStr"/>
      <c r="Q253" s="25" t="n"/>
      <c r="R253" s="25" t="n"/>
      <c r="S253" s="25" t="n"/>
      <c r="T253" s="25">
        <f>IF(AND(R253="",S253=""),"",N(R253)+N(S253))</f>
        <v/>
      </c>
      <c r="U253" s="25" t="n"/>
      <c r="V253" s="26" t="inlineStr">
        <is>
          <t>IMDb</t>
        </is>
      </c>
      <c r="W253" s="26" t="inlineStr">
        <is>
          <t>FilmAffinity</t>
        </is>
      </c>
      <c r="X253" s="26" t="inlineStr">
        <is>
          <t>Letterboxd</t>
        </is>
      </c>
    </row>
    <row r="254">
      <c r="A254" t="inlineStr">
        <is>
          <t>p0253</t>
        </is>
      </c>
      <c r="B254" t="inlineStr">
        <is>
          <t>Truman</t>
        </is>
      </c>
      <c r="C254" t="inlineStr">
        <is>
          <t>Truman</t>
        </is>
      </c>
      <c r="D254" s="4" t="n">
        <v>2015</v>
      </c>
      <c r="E254" s="4">
        <f>IF(D254="","",FLOOR(D254,10))</f>
        <v/>
      </c>
      <c r="F254" s="22" t="n">
        <v>108</v>
      </c>
      <c r="G254" s="23" t="n">
        <v>7.6</v>
      </c>
      <c r="H254" t="inlineStr">
        <is>
          <t>Cesc Gay</t>
        </is>
      </c>
      <c r="I254" t="inlineStr">
        <is>
          <t>España</t>
        </is>
      </c>
      <c r="J254" t="inlineStr">
        <is>
          <t>Drama, Comedia</t>
        </is>
      </c>
      <c r="M254" s="6" t="n"/>
      <c r="O254" s="24" t="inlineStr"/>
      <c r="Q254" s="25" t="n"/>
      <c r="R254" s="25" t="n"/>
      <c r="S254" s="25" t="n"/>
      <c r="T254" s="25">
        <f>IF(AND(R254="",S254=""),"",N(R254)+N(S254))</f>
        <v/>
      </c>
      <c r="U254" s="25" t="n"/>
      <c r="V254" s="26" t="inlineStr">
        <is>
          <t>IMDb</t>
        </is>
      </c>
      <c r="W254" s="26" t="inlineStr">
        <is>
          <t>FilmAffinity</t>
        </is>
      </c>
      <c r="X254" s="26" t="inlineStr">
        <is>
          <t>Letterboxd</t>
        </is>
      </c>
    </row>
    <row r="255">
      <c r="A255" t="inlineStr">
        <is>
          <t>p0254</t>
        </is>
      </c>
      <c r="B255" t="inlineStr">
        <is>
          <t>Star Wars: El Despertar de la Fuerza</t>
        </is>
      </c>
      <c r="C255" t="inlineStr">
        <is>
          <t>Star Wars: The Force Awakens</t>
        </is>
      </c>
      <c r="D255" s="4" t="n">
        <v>2015</v>
      </c>
      <c r="E255" s="4">
        <f>IF(D255="","",FLOOR(D255,10))</f>
        <v/>
      </c>
      <c r="F255" s="22" t="n">
        <v>135</v>
      </c>
      <c r="G255" s="23" t="n">
        <v>7.4</v>
      </c>
      <c r="H255" t="inlineStr">
        <is>
          <t>J.J. Abrams</t>
        </is>
      </c>
      <c r="I255" t="inlineStr">
        <is>
          <t>Estados Unidos</t>
        </is>
      </c>
      <c r="J255" t="inlineStr">
        <is>
          <t>Ciencia ficción, Aventura, Acción</t>
        </is>
      </c>
      <c r="K255" t="inlineStr">
        <is>
          <t>Star Wars</t>
        </is>
      </c>
      <c r="M255" s="6" t="n"/>
      <c r="O255" s="24" t="inlineStr"/>
      <c r="Q255" s="25" t="n">
        <v>247966675</v>
      </c>
      <c r="R255" s="25" t="n">
        <v>936662225</v>
      </c>
      <c r="S255" s="25" t="n">
        <v>1134647993</v>
      </c>
      <c r="T255" s="25">
        <f>IF(AND(R255="",S255=""),"",N(R255)+N(S255))</f>
        <v/>
      </c>
      <c r="U255" s="25" t="n"/>
      <c r="V255" s="26" t="inlineStr">
        <is>
          <t>IMDb</t>
        </is>
      </c>
      <c r="W255" s="26" t="inlineStr">
        <is>
          <t>FilmAffinity</t>
        </is>
      </c>
      <c r="X255" s="26" t="inlineStr">
        <is>
          <t>Letterboxd</t>
        </is>
      </c>
    </row>
    <row r="256">
      <c r="A256" t="inlineStr">
        <is>
          <t>p0255</t>
        </is>
      </c>
      <c r="B256" t="inlineStr">
        <is>
          <t>La Invitación</t>
        </is>
      </c>
      <c r="C256" t="inlineStr">
        <is>
          <t>The Invitation</t>
        </is>
      </c>
      <c r="D256" s="4" t="n">
        <v>2015</v>
      </c>
      <c r="E256" s="4">
        <f>IF(D256="","",FLOOR(D256,10))</f>
        <v/>
      </c>
      <c r="F256" s="22" t="n">
        <v>100</v>
      </c>
      <c r="G256" s="23" t="n">
        <v>7.3</v>
      </c>
      <c r="H256" t="inlineStr">
        <is>
          <t>Karyn Kusama</t>
        </is>
      </c>
      <c r="I256" t="inlineStr">
        <is>
          <t>Estados Unidos</t>
        </is>
      </c>
      <c r="J256" t="inlineStr">
        <is>
          <t>Thriller, Terror</t>
        </is>
      </c>
      <c r="M256" s="6" t="n"/>
      <c r="O256" s="24" t="inlineStr"/>
      <c r="Q256" s="25" t="n"/>
      <c r="R256" s="25" t="n"/>
      <c r="S256" s="25" t="n"/>
      <c r="T256" s="25">
        <f>IF(AND(R256="",S256=""),"",N(R256)+N(S256))</f>
        <v/>
      </c>
      <c r="U256" s="25" t="n"/>
      <c r="V256" s="26" t="inlineStr">
        <is>
          <t>IMDb</t>
        </is>
      </c>
      <c r="W256" s="26" t="inlineStr">
        <is>
          <t>FilmAffinity</t>
        </is>
      </c>
      <c r="X256" s="26" t="inlineStr">
        <is>
          <t>Letterboxd</t>
        </is>
      </c>
    </row>
    <row r="257">
      <c r="A257" t="inlineStr">
        <is>
          <t>p0256</t>
        </is>
      </c>
      <c r="B257" t="inlineStr">
        <is>
          <t>Los odiosos ocho</t>
        </is>
      </c>
      <c r="C257" t="inlineStr">
        <is>
          <t>The Hateful Eight</t>
        </is>
      </c>
      <c r="D257" s="4" t="n">
        <v>2015</v>
      </c>
      <c r="E257" s="4">
        <f>IF(D257="","",FLOOR(D257,10))</f>
        <v/>
      </c>
      <c r="F257" s="22" t="n">
        <v>167</v>
      </c>
      <c r="G257" s="23" t="n">
        <v>7.3</v>
      </c>
      <c r="H257" t="inlineStr">
        <is>
          <t>Quentin Tarantino</t>
        </is>
      </c>
      <c r="I257" t="inlineStr">
        <is>
          <t>Estados Unidos</t>
        </is>
      </c>
      <c r="J257" t="inlineStr">
        <is>
          <t>Western, Misterio, Crimen</t>
        </is>
      </c>
      <c r="M257" s="6" t="n"/>
      <c r="O257" s="24" t="inlineStr"/>
      <c r="Q257" s="25" t="n"/>
      <c r="R257" s="25" t="n"/>
      <c r="S257" s="25" t="n"/>
      <c r="T257" s="25">
        <f>IF(AND(R257="",S257=""),"",N(R257)+N(S257))</f>
        <v/>
      </c>
      <c r="U257" s="25" t="n"/>
      <c r="V257" s="26" t="inlineStr">
        <is>
          <t>IMDb</t>
        </is>
      </c>
      <c r="W257" s="26" t="inlineStr">
        <is>
          <t>FilmAffinity</t>
        </is>
      </c>
      <c r="X257" s="26" t="inlineStr">
        <is>
          <t>Letterboxd</t>
        </is>
      </c>
    </row>
    <row r="258">
      <c r="A258" t="inlineStr">
        <is>
          <t>p0257</t>
        </is>
      </c>
      <c r="B258" t="inlineStr">
        <is>
          <t>Ha vuelto</t>
        </is>
      </c>
      <c r="C258" t="inlineStr">
        <is>
          <t>Look Who's Back</t>
        </is>
      </c>
      <c r="D258" s="4" t="n">
        <v>2015</v>
      </c>
      <c r="E258" s="4">
        <f>IF(D258="","",FLOOR(D258,10))</f>
        <v/>
      </c>
      <c r="F258" s="22" t="n">
        <v>116</v>
      </c>
      <c r="G258" s="23" t="n">
        <v>7.2</v>
      </c>
      <c r="H258" t="inlineStr">
        <is>
          <t>David Wnendt</t>
        </is>
      </c>
      <c r="I258" t="inlineStr">
        <is>
          <t>Alemania</t>
        </is>
      </c>
      <c r="J258" t="inlineStr">
        <is>
          <t>Comedia</t>
        </is>
      </c>
      <c r="M258" s="6" t="n"/>
      <c r="O258" s="24" t="inlineStr"/>
      <c r="Q258" s="25" t="n"/>
      <c r="R258" s="25" t="n"/>
      <c r="S258" s="25" t="n"/>
      <c r="T258" s="25">
        <f>IF(AND(R258="",S258=""),"",N(R258)+N(S258))</f>
        <v/>
      </c>
      <c r="U258" s="25" t="n"/>
      <c r="V258" s="26" t="inlineStr">
        <is>
          <t>IMDb</t>
        </is>
      </c>
      <c r="W258" s="26" t="inlineStr">
        <is>
          <t>FilmAffinity</t>
        </is>
      </c>
      <c r="X258" s="26" t="inlineStr">
        <is>
          <t>Letterboxd</t>
        </is>
      </c>
    </row>
    <row r="259">
      <c r="A259" t="inlineStr">
        <is>
          <t>p0258</t>
        </is>
      </c>
      <c r="B259" t="inlineStr">
        <is>
          <t>Vengadores: La Era de Ultrón</t>
        </is>
      </c>
      <c r="C259" t="inlineStr">
        <is>
          <t>Avengers: Age of Ultron</t>
        </is>
      </c>
      <c r="D259" s="4" t="n">
        <v>2015</v>
      </c>
      <c r="E259" s="4">
        <f>IF(D259="","",FLOOR(D259,10))</f>
        <v/>
      </c>
      <c r="F259" s="22" t="n">
        <v>141</v>
      </c>
      <c r="G259" s="23" t="n">
        <v>6.9</v>
      </c>
      <c r="H259" t="inlineStr">
        <is>
          <t>Joss Whedon</t>
        </is>
      </c>
      <c r="I259" t="inlineStr">
        <is>
          <t>Estados Unidos</t>
        </is>
      </c>
      <c r="J259" t="inlineStr">
        <is>
          <t>Superhéroes, Acción</t>
        </is>
      </c>
      <c r="K259" t="inlineStr">
        <is>
          <t>UCM</t>
        </is>
      </c>
      <c r="L259" t="inlineStr">
        <is>
          <t>Fase 2 · Saga del Infinito</t>
        </is>
      </c>
      <c r="M259" s="6" t="n"/>
      <c r="O259" s="24" t="inlineStr"/>
      <c r="Q259" s="25" t="n">
        <v>191271109</v>
      </c>
      <c r="R259" s="25" t="n">
        <v>459005868</v>
      </c>
      <c r="S259" s="25" t="n">
        <v>946012180</v>
      </c>
      <c r="T259" s="25">
        <f>IF(AND(R259="",S259=""),"",N(R259)+N(S259))</f>
        <v/>
      </c>
      <c r="U259" s="25" t="n">
        <v>250000000</v>
      </c>
      <c r="V259" s="26" t="inlineStr">
        <is>
          <t>IMDb</t>
        </is>
      </c>
      <c r="W259" s="26" t="inlineStr">
        <is>
          <t>FilmAffinity</t>
        </is>
      </c>
      <c r="X259" s="26" t="inlineStr">
        <is>
          <t>Letterboxd</t>
        </is>
      </c>
    </row>
    <row r="260">
      <c r="A260" t="inlineStr">
        <is>
          <t>p0259</t>
        </is>
      </c>
      <c r="B260" t="inlineStr">
        <is>
          <t>Creed: La Leyenda de Rocky</t>
        </is>
      </c>
      <c r="C260" t="inlineStr">
        <is>
          <t>Creed</t>
        </is>
      </c>
      <c r="D260" s="4" t="n">
        <v>2015</v>
      </c>
      <c r="E260" s="4">
        <f>IF(D260="","",FLOOR(D260,10))</f>
        <v/>
      </c>
      <c r="F260" s="22" t="n">
        <v>132</v>
      </c>
      <c r="G260" s="23" t="n">
        <v>6.5</v>
      </c>
      <c r="H260" t="inlineStr">
        <is>
          <t>Ryan Coogler</t>
        </is>
      </c>
      <c r="I260" t="inlineStr">
        <is>
          <t>Estados Unidos</t>
        </is>
      </c>
      <c r="J260" t="inlineStr">
        <is>
          <t>Drama</t>
        </is>
      </c>
      <c r="K260" t="inlineStr">
        <is>
          <t>Rocky / Creed</t>
        </is>
      </c>
      <c r="M260" s="6" t="n"/>
      <c r="O260" s="24" t="inlineStr"/>
      <c r="Q260" s="25" t="n"/>
      <c r="R260" s="25" t="n"/>
      <c r="S260" s="25" t="n"/>
      <c r="T260" s="25">
        <f>IF(AND(R260="",S260=""),"",N(R260)+N(S260))</f>
        <v/>
      </c>
      <c r="U260" s="25" t="n"/>
      <c r="V260" s="26" t="inlineStr">
        <is>
          <t>IMDb</t>
        </is>
      </c>
      <c r="W260" s="26" t="inlineStr">
        <is>
          <t>FilmAffinity</t>
        </is>
      </c>
      <c r="X260" s="26" t="inlineStr">
        <is>
          <t>Letterboxd</t>
        </is>
      </c>
    </row>
    <row r="261">
      <c r="A261" t="inlineStr">
        <is>
          <t>p0260</t>
        </is>
      </c>
      <c r="B261" t="inlineStr">
        <is>
          <t>Fast &amp; Furious 7</t>
        </is>
      </c>
      <c r="C261" t="inlineStr">
        <is>
          <t>Furious 7</t>
        </is>
      </c>
      <c r="D261" s="4" t="n">
        <v>2015</v>
      </c>
      <c r="E261" s="4">
        <f>IF(D261="","",FLOOR(D261,10))</f>
        <v/>
      </c>
      <c r="F261" s="22" t="n">
        <v>137</v>
      </c>
      <c r="G261" s="23" t="n">
        <v>5.7</v>
      </c>
      <c r="H261" t="inlineStr">
        <is>
          <t>James Wan</t>
        </is>
      </c>
      <c r="I261" t="inlineStr">
        <is>
          <t>Estados Unidos</t>
        </is>
      </c>
      <c r="J261" t="inlineStr">
        <is>
          <t>Acción</t>
        </is>
      </c>
      <c r="K261" t="inlineStr">
        <is>
          <t>Fast &amp; Furious</t>
        </is>
      </c>
      <c r="M261" s="6" t="n"/>
      <c r="O261" s="24" t="inlineStr"/>
      <c r="Q261" s="25" t="n"/>
      <c r="R261" s="25" t="n"/>
      <c r="S261" s="25" t="n"/>
      <c r="T261" s="25">
        <f>IF(AND(R261="",S261=""),"",N(R261)+N(S261))</f>
        <v/>
      </c>
      <c r="U261" s="25" t="n"/>
      <c r="V261" s="26" t="inlineStr">
        <is>
          <t>IMDb</t>
        </is>
      </c>
      <c r="W261" s="26" t="inlineStr">
        <is>
          <t>FilmAffinity</t>
        </is>
      </c>
      <c r="X261" s="26" t="inlineStr">
        <is>
          <t>Letterboxd</t>
        </is>
      </c>
    </row>
    <row r="262">
      <c r="A262" t="inlineStr">
        <is>
          <t>p0261</t>
        </is>
      </c>
      <c r="B262" t="inlineStr">
        <is>
          <t>Toc, Toc</t>
        </is>
      </c>
      <c r="C262" t="inlineStr">
        <is>
          <t>Knock Knock</t>
        </is>
      </c>
      <c r="D262" s="4" t="n">
        <v>2015</v>
      </c>
      <c r="E262" s="4">
        <f>IF(D262="","",FLOOR(D262,10))</f>
        <v/>
      </c>
      <c r="F262" s="22" t="n">
        <v>95</v>
      </c>
      <c r="G262" s="23" t="n">
        <v>5.4</v>
      </c>
      <c r="H262" t="inlineStr">
        <is>
          <t>Eli Roth</t>
        </is>
      </c>
      <c r="I262" t="inlineStr">
        <is>
          <t>Estados Unidos</t>
        </is>
      </c>
      <c r="J262" t="inlineStr">
        <is>
          <t>Thriller, Terror</t>
        </is>
      </c>
      <c r="M262" s="6" t="n"/>
      <c r="O262" s="24" t="inlineStr"/>
      <c r="Q262" s="25" t="n"/>
      <c r="R262" s="25" t="n"/>
      <c r="S262" s="25" t="n"/>
      <c r="T262" s="25">
        <f>IF(AND(R262="",S262=""),"",N(R262)+N(S262))</f>
        <v/>
      </c>
      <c r="U262" s="25" t="n"/>
      <c r="V262" s="26" t="inlineStr">
        <is>
          <t>IMDb</t>
        </is>
      </c>
      <c r="W262" s="26" t="inlineStr">
        <is>
          <t>FilmAffinity</t>
        </is>
      </c>
      <c r="X262" s="26" t="inlineStr">
        <is>
          <t>Letterboxd</t>
        </is>
      </c>
    </row>
    <row r="263">
      <c r="A263" t="inlineStr">
        <is>
          <t>p0262</t>
        </is>
      </c>
      <c r="B263" t="inlineStr">
        <is>
          <t>Dragon Ball Z: La Resurrección de F</t>
        </is>
      </c>
      <c r="C263" t="inlineStr">
        <is>
          <t>Dragon Ball Z: Resurrection 'F'</t>
        </is>
      </c>
      <c r="D263" s="4" t="n">
        <v>2015</v>
      </c>
      <c r="E263" s="4">
        <f>IF(D263="","",FLOOR(D263,10))</f>
        <v/>
      </c>
      <c r="F263" s="22" t="n">
        <v>93</v>
      </c>
      <c r="G263" s="23" t="n">
        <v>5.1</v>
      </c>
      <c r="H263" t="inlineStr">
        <is>
          <t>Tadayoshi Yamamuro</t>
        </is>
      </c>
      <c r="I263" t="inlineStr">
        <is>
          <t>Japón</t>
        </is>
      </c>
      <c r="J263" t="inlineStr">
        <is>
          <t>Animación, Acción</t>
        </is>
      </c>
      <c r="K263" t="inlineStr">
        <is>
          <t>Dragon Ball</t>
        </is>
      </c>
      <c r="M263" s="6" t="n"/>
      <c r="O263" s="24" t="inlineStr"/>
      <c r="Q263" s="25" t="n"/>
      <c r="R263" s="25" t="n"/>
      <c r="S263" s="25" t="n"/>
      <c r="T263" s="25">
        <f>IF(AND(R263="",S263=""),"",N(R263)+N(S263))</f>
        <v/>
      </c>
      <c r="U263" s="25" t="n"/>
      <c r="V263" s="26" t="inlineStr">
        <is>
          <t>IMDb</t>
        </is>
      </c>
      <c r="W263" s="26" t="inlineStr">
        <is>
          <t>FilmAffinity</t>
        </is>
      </c>
      <c r="X263" s="26" t="inlineStr">
        <is>
          <t>Letterboxd</t>
        </is>
      </c>
    </row>
    <row r="264">
      <c r="A264" t="inlineStr">
        <is>
          <t>p0263</t>
        </is>
      </c>
      <c r="B264" t="inlineStr">
        <is>
          <t>Vacaciones</t>
        </is>
      </c>
      <c r="C264" t="inlineStr">
        <is>
          <t>Vacation</t>
        </is>
      </c>
      <c r="D264" s="4" t="n">
        <v>2015</v>
      </c>
      <c r="E264" s="4">
        <f>IF(D264="","",FLOOR(D264,10))</f>
        <v/>
      </c>
      <c r="F264" s="22" t="n">
        <v>99</v>
      </c>
      <c r="G264" s="23" t="n">
        <v>5</v>
      </c>
      <c r="H264" t="inlineStr">
        <is>
          <t>John Francis Daley / Jonathan Goldstein</t>
        </is>
      </c>
      <c r="I264" t="inlineStr">
        <is>
          <t>Estados Unidos</t>
        </is>
      </c>
      <c r="J264" t="inlineStr">
        <is>
          <t>Comedia</t>
        </is>
      </c>
      <c r="M264" s="6" t="n"/>
      <c r="O264" s="24" t="inlineStr"/>
      <c r="Q264" s="25" t="n"/>
      <c r="R264" s="25" t="n"/>
      <c r="S264" s="25" t="n"/>
      <c r="T264" s="25">
        <f>IF(AND(R264="",S264=""),"",N(R264)+N(S264))</f>
        <v/>
      </c>
      <c r="U264" s="25" t="n"/>
      <c r="V264" s="26" t="inlineStr">
        <is>
          <t>IMDb</t>
        </is>
      </c>
      <c r="W264" s="26" t="inlineStr">
        <is>
          <t>FilmAffinity</t>
        </is>
      </c>
      <c r="X264" s="26" t="inlineStr">
        <is>
          <t>Letterboxd</t>
        </is>
      </c>
    </row>
    <row r="265">
      <c r="A265" t="inlineStr">
        <is>
          <t>p0264</t>
        </is>
      </c>
      <c r="B265" t="inlineStr">
        <is>
          <t>Anacleto: Agente secreto</t>
        </is>
      </c>
      <c r="C265" t="inlineStr">
        <is>
          <t>Anacleto: agente secreto</t>
        </is>
      </c>
      <c r="D265" s="4" t="n">
        <v>2015</v>
      </c>
      <c r="E265" s="4">
        <f>IF(D265="","",FLOOR(D265,10))</f>
        <v/>
      </c>
      <c r="F265" s="22" t="n">
        <v>87</v>
      </c>
      <c r="G265" s="23" t="n">
        <v>4.9</v>
      </c>
      <c r="H265" t="inlineStr">
        <is>
          <t>Javier Ruiz Caldera</t>
        </is>
      </c>
      <c r="I265" t="inlineStr">
        <is>
          <t>España</t>
        </is>
      </c>
      <c r="J265" t="inlineStr">
        <is>
          <t>Comedia, Acción</t>
        </is>
      </c>
      <c r="M265" s="6" t="n"/>
      <c r="O265" s="24" t="inlineStr"/>
      <c r="Q265" s="25" t="n"/>
      <c r="R265" s="25" t="n"/>
      <c r="S265" s="25" t="n"/>
      <c r="T265" s="25">
        <f>IF(AND(R265="",S265=""),"",N(R265)+N(S265))</f>
        <v/>
      </c>
      <c r="U265" s="25" t="n"/>
      <c r="V265" s="26" t="inlineStr">
        <is>
          <t>IMDb</t>
        </is>
      </c>
      <c r="W265" s="26" t="inlineStr">
        <is>
          <t>FilmAffinity</t>
        </is>
      </c>
      <c r="X265" s="26" t="inlineStr">
        <is>
          <t>Letterboxd</t>
        </is>
      </c>
    </row>
    <row r="266">
      <c r="A266" t="inlineStr">
        <is>
          <t>p0265</t>
        </is>
      </c>
      <c r="B266" t="inlineStr">
        <is>
          <t>La Bruja</t>
        </is>
      </c>
      <c r="C266" t="inlineStr">
        <is>
          <t>The Witch</t>
        </is>
      </c>
      <c r="D266" s="4" t="n">
        <v>2015</v>
      </c>
      <c r="E266" s="4">
        <f>IF(D266="","",FLOOR(D266,10))</f>
        <v/>
      </c>
      <c r="F266" s="22" t="n">
        <v>92</v>
      </c>
      <c r="G266" s="23" t="n">
        <v>4.7</v>
      </c>
      <c r="H266" t="inlineStr">
        <is>
          <t>Robert Eggers</t>
        </is>
      </c>
      <c r="I266" t="inlineStr">
        <is>
          <t>Estados Unidos</t>
        </is>
      </c>
      <c r="J266" t="inlineStr">
        <is>
          <t>Terror</t>
        </is>
      </c>
      <c r="M266" s="6" t="n"/>
      <c r="O266" s="24" t="inlineStr"/>
      <c r="Q266" s="25" t="n"/>
      <c r="R266" s="25" t="n"/>
      <c r="S266" s="25" t="n"/>
      <c r="T266" s="25">
        <f>IF(AND(R266="",S266=""),"",N(R266)+N(S266))</f>
        <v/>
      </c>
      <c r="U266" s="25" t="n"/>
      <c r="V266" s="26" t="inlineStr">
        <is>
          <t>IMDb</t>
        </is>
      </c>
      <c r="W266" s="26" t="inlineStr">
        <is>
          <t>FilmAffinity</t>
        </is>
      </c>
      <c r="X266" s="26" t="inlineStr">
        <is>
          <t>Letterboxd</t>
        </is>
      </c>
    </row>
    <row r="267">
      <c r="A267" t="inlineStr">
        <is>
          <t>p0266</t>
        </is>
      </c>
      <c r="B267" t="inlineStr">
        <is>
          <t>Ant-Man</t>
        </is>
      </c>
      <c r="C267" t="inlineStr">
        <is>
          <t>Ant-Man</t>
        </is>
      </c>
      <c r="D267" s="4" t="n">
        <v>2015</v>
      </c>
      <c r="E267" s="4">
        <f>IF(D267="","",FLOOR(D267,10))</f>
        <v/>
      </c>
      <c r="F267" s="22" t="n">
        <v>117</v>
      </c>
      <c r="G267" s="23" t="n">
        <v>4.7</v>
      </c>
      <c r="H267" t="inlineStr">
        <is>
          <t>Peyton Reed</t>
        </is>
      </c>
      <c r="I267" t="inlineStr">
        <is>
          <t>Estados Unidos</t>
        </is>
      </c>
      <c r="J267" t="inlineStr">
        <is>
          <t>Superhéroes, Comedia</t>
        </is>
      </c>
      <c r="K267" t="inlineStr">
        <is>
          <t>UCM</t>
        </is>
      </c>
      <c r="L267" t="inlineStr">
        <is>
          <t>Fase 2 · Saga del Infinito</t>
        </is>
      </c>
      <c r="M267" s="6" t="n"/>
      <c r="O267" s="24" t="inlineStr"/>
      <c r="Q267" s="25" t="n">
        <v>57225526</v>
      </c>
      <c r="R267" s="25" t="n">
        <v>180202163</v>
      </c>
      <c r="S267" s="25" t="n">
        <v>339109802</v>
      </c>
      <c r="T267" s="25">
        <f>IF(AND(R267="",S267=""),"",N(R267)+N(S267))</f>
        <v/>
      </c>
      <c r="U267" s="25" t="n">
        <v>130000000</v>
      </c>
      <c r="V267" s="26" t="inlineStr">
        <is>
          <t>IMDb</t>
        </is>
      </c>
      <c r="W267" s="26" t="inlineStr">
        <is>
          <t>FilmAffinity</t>
        </is>
      </c>
      <c r="X267" s="26" t="inlineStr">
        <is>
          <t>Letterboxd</t>
        </is>
      </c>
    </row>
    <row r="268">
      <c r="A268" t="inlineStr">
        <is>
          <t>p0267</t>
        </is>
      </c>
      <c r="B268" t="inlineStr">
        <is>
          <t>Insidious: Capítulo 3</t>
        </is>
      </c>
      <c r="C268" t="inlineStr">
        <is>
          <t>Insidious: Chapter 3</t>
        </is>
      </c>
      <c r="D268" s="4" t="n">
        <v>2015</v>
      </c>
      <c r="E268" s="4">
        <f>IF(D268="","",FLOOR(D268,10))</f>
        <v/>
      </c>
      <c r="F268" s="22" t="n">
        <v>98</v>
      </c>
      <c r="G268" s="23" t="n">
        <v>4.6</v>
      </c>
      <c r="H268" t="inlineStr">
        <is>
          <t>Leigh Whannell</t>
        </is>
      </c>
      <c r="I268" t="inlineStr">
        <is>
          <t>Estados Unidos</t>
        </is>
      </c>
      <c r="J268" t="inlineStr">
        <is>
          <t>Terror</t>
        </is>
      </c>
      <c r="K268" t="inlineStr">
        <is>
          <t>Insidious</t>
        </is>
      </c>
      <c r="M268" s="6" t="n"/>
      <c r="O268" s="24" t="inlineStr"/>
      <c r="Q268" s="25" t="n"/>
      <c r="R268" s="25" t="n"/>
      <c r="S268" s="25" t="n"/>
      <c r="T268" s="25">
        <f>IF(AND(R268="",S268=""),"",N(R268)+N(S268))</f>
        <v/>
      </c>
      <c r="U268" s="25" t="n"/>
      <c r="V268" s="26" t="inlineStr">
        <is>
          <t>IMDb</t>
        </is>
      </c>
      <c r="W268" s="26" t="inlineStr">
        <is>
          <t>FilmAffinity</t>
        </is>
      </c>
      <c r="X268" s="26" t="inlineStr">
        <is>
          <t>Letterboxd</t>
        </is>
      </c>
    </row>
    <row r="269">
      <c r="A269" t="inlineStr">
        <is>
          <t>p0268</t>
        </is>
      </c>
      <c r="B269" t="inlineStr">
        <is>
          <t>Mi gran noche</t>
        </is>
      </c>
      <c r="C269" t="inlineStr">
        <is>
          <t>Mi gran noche</t>
        </is>
      </c>
      <c r="D269" s="4" t="n">
        <v>2015</v>
      </c>
      <c r="E269" s="4">
        <f>IF(D269="","",FLOOR(D269,10))</f>
        <v/>
      </c>
      <c r="F269" s="22" t="n">
        <v>100</v>
      </c>
      <c r="G269" s="23" t="n">
        <v>4.5</v>
      </c>
      <c r="H269" t="inlineStr">
        <is>
          <t>Álex de la Iglesia</t>
        </is>
      </c>
      <c r="I269" t="inlineStr">
        <is>
          <t>España</t>
        </is>
      </c>
      <c r="J269" t="inlineStr">
        <is>
          <t>Comedia</t>
        </is>
      </c>
      <c r="M269" s="6" t="n"/>
      <c r="O269" s="24" t="inlineStr"/>
      <c r="Q269" s="25" t="n"/>
      <c r="R269" s="25" t="n"/>
      <c r="S269" s="25" t="n"/>
      <c r="T269" s="25">
        <f>IF(AND(R269="",S269=""),"",N(R269)+N(S269))</f>
        <v/>
      </c>
      <c r="U269" s="25" t="n"/>
      <c r="V269" s="26" t="inlineStr">
        <is>
          <t>IMDb</t>
        </is>
      </c>
      <c r="W269" s="26" t="inlineStr">
        <is>
          <t>FilmAffinity</t>
        </is>
      </c>
      <c r="X269" s="26" t="inlineStr">
        <is>
          <t>Letterboxd</t>
        </is>
      </c>
    </row>
    <row r="270">
      <c r="A270" t="inlineStr">
        <is>
          <t>p0269</t>
        </is>
      </c>
      <c r="B270" t="inlineStr">
        <is>
          <t>Being 14</t>
        </is>
      </c>
      <c r="C270" t="inlineStr">
        <is>
          <t>Being 14</t>
        </is>
      </c>
      <c r="D270" s="4" t="n">
        <v>2015</v>
      </c>
      <c r="E270" s="4">
        <f>IF(D270="","",FLOOR(D270,10))</f>
        <v/>
      </c>
      <c r="F270" s="22" t="n">
        <v>86</v>
      </c>
      <c r="G270" s="23" t="n">
        <v>4.3</v>
      </c>
      <c r="H270" t="inlineStr">
        <is>
          <t>Hélène Zimmer</t>
        </is>
      </c>
      <c r="I270" t="inlineStr">
        <is>
          <t>Francia</t>
        </is>
      </c>
      <c r="J270" t="inlineStr">
        <is>
          <t>Drama</t>
        </is>
      </c>
      <c r="M270" s="6" t="n"/>
      <c r="O270" s="24" t="inlineStr"/>
      <c r="Q270" s="25" t="n"/>
      <c r="R270" s="25" t="n"/>
      <c r="S270" s="25" t="n"/>
      <c r="T270" s="25">
        <f>IF(AND(R270="",S270=""),"",N(R270)+N(S270))</f>
        <v/>
      </c>
      <c r="U270" s="25" t="n"/>
      <c r="V270" s="26" t="inlineStr">
        <is>
          <t>IMDb</t>
        </is>
      </c>
      <c r="W270" s="26" t="inlineStr">
        <is>
          <t>FilmAffinity</t>
        </is>
      </c>
      <c r="X270" s="26" t="inlineStr">
        <is>
          <t>Letterboxd</t>
        </is>
      </c>
    </row>
    <row r="271">
      <c r="A271" t="inlineStr">
        <is>
          <t>p0270</t>
        </is>
      </c>
      <c r="B271" t="inlineStr">
        <is>
          <t>Ocho apellidos catalanes</t>
        </is>
      </c>
      <c r="C271" t="inlineStr">
        <is>
          <t>Ocho apellidos catalanes</t>
        </is>
      </c>
      <c r="D271" s="4" t="n">
        <v>2015</v>
      </c>
      <c r="E271" s="4">
        <f>IF(D271="","",FLOOR(D271,10))</f>
        <v/>
      </c>
      <c r="F271" s="22" t="n">
        <v>99</v>
      </c>
      <c r="G271" s="23" t="n">
        <v>4</v>
      </c>
      <c r="H271" t="inlineStr">
        <is>
          <t>Emilio Martínez-Lázaro</t>
        </is>
      </c>
      <c r="I271" t="inlineStr">
        <is>
          <t>España</t>
        </is>
      </c>
      <c r="J271" t="inlineStr">
        <is>
          <t>Comedia, Romance</t>
        </is>
      </c>
      <c r="K271" t="inlineStr">
        <is>
          <t>Ocho apellidos</t>
        </is>
      </c>
      <c r="M271" s="6" t="n"/>
      <c r="O271" s="24" t="inlineStr"/>
      <c r="Q271" s="25" t="n"/>
      <c r="R271" s="25" t="n"/>
      <c r="S271" s="25" t="n"/>
      <c r="T271" s="25">
        <f>IF(AND(R271="",S271=""),"",N(R271)+N(S271))</f>
        <v/>
      </c>
      <c r="U271" s="25" t="n"/>
      <c r="V271" s="26" t="inlineStr">
        <is>
          <t>IMDb</t>
        </is>
      </c>
      <c r="W271" s="26" t="inlineStr">
        <is>
          <t>FilmAffinity</t>
        </is>
      </c>
      <c r="X271" s="26" t="inlineStr">
        <is>
          <t>Letterboxd</t>
        </is>
      </c>
    </row>
    <row r="272">
      <c r="A272" t="inlineStr">
        <is>
          <t>p0271</t>
        </is>
      </c>
      <c r="B272" t="inlineStr">
        <is>
          <t>Cincuenta sombras de Grey</t>
        </is>
      </c>
      <c r="C272" t="inlineStr">
        <is>
          <t>Fifty Shades of Grey</t>
        </is>
      </c>
      <c r="D272" s="4" t="n">
        <v>2015</v>
      </c>
      <c r="E272" s="4">
        <f>IF(D272="","",FLOOR(D272,10))</f>
        <v/>
      </c>
      <c r="F272" s="22" t="n">
        <v>124</v>
      </c>
      <c r="G272" s="23" t="n">
        <v>3</v>
      </c>
      <c r="H272" t="inlineStr">
        <is>
          <t>Sam Taylor-Johnson</t>
        </is>
      </c>
      <c r="I272" t="inlineStr">
        <is>
          <t>Estados Unidos</t>
        </is>
      </c>
      <c r="J272" t="inlineStr">
        <is>
          <t>Romance, Drama</t>
        </is>
      </c>
      <c r="M272" s="6" t="n"/>
      <c r="O272" s="24" t="inlineStr"/>
      <c r="Q272" s="25" t="n"/>
      <c r="R272" s="25" t="n"/>
      <c r="S272" s="25" t="n"/>
      <c r="T272" s="25">
        <f>IF(AND(R272="",S272=""),"",N(R272)+N(S272))</f>
        <v/>
      </c>
      <c r="U272" s="25" t="n"/>
      <c r="V272" s="26" t="inlineStr">
        <is>
          <t>IMDb</t>
        </is>
      </c>
      <c r="W272" s="26" t="inlineStr">
        <is>
          <t>FilmAffinity</t>
        </is>
      </c>
      <c r="X272" s="26" t="inlineStr">
        <is>
          <t>Letterboxd</t>
        </is>
      </c>
    </row>
    <row r="273">
      <c r="A273" t="inlineStr">
        <is>
          <t>p0272</t>
        </is>
      </c>
      <c r="B273" t="inlineStr">
        <is>
          <t>Interstellar</t>
        </is>
      </c>
      <c r="C273" t="inlineStr">
        <is>
          <t>Interstellar</t>
        </is>
      </c>
      <c r="D273" s="4" t="n">
        <v>2014</v>
      </c>
      <c r="E273" s="4">
        <f>IF(D273="","",FLOOR(D273,10))</f>
        <v/>
      </c>
      <c r="F273" s="22" t="n">
        <v>169</v>
      </c>
      <c r="G273" s="23" t="n">
        <v>9.4</v>
      </c>
      <c r="H273" t="inlineStr">
        <is>
          <t>Christopher Nolan</t>
        </is>
      </c>
      <c r="I273" t="inlineStr">
        <is>
          <t>Estados Unidos</t>
        </is>
      </c>
      <c r="J273" t="inlineStr">
        <is>
          <t>Ciencia ficción, Drama, Aventura</t>
        </is>
      </c>
      <c r="M273" s="6" t="n"/>
      <c r="O273" s="24" t="inlineStr"/>
      <c r="Q273" s="25" t="n">
        <v>47510360</v>
      </c>
      <c r="R273" s="25" t="n">
        <v>203227580</v>
      </c>
      <c r="S273" s="25" t="n">
        <v>561116955</v>
      </c>
      <c r="T273" s="25">
        <f>IF(AND(R273="",S273=""),"",N(R273)+N(S273))</f>
        <v/>
      </c>
      <c r="U273" s="25" t="n"/>
      <c r="V273" s="26" t="inlineStr">
        <is>
          <t>IMDb</t>
        </is>
      </c>
      <c r="W273" s="26" t="inlineStr">
        <is>
          <t>FilmAffinity</t>
        </is>
      </c>
      <c r="X273" s="26" t="inlineStr">
        <is>
          <t>Letterboxd</t>
        </is>
      </c>
    </row>
    <row r="274">
      <c r="A274" t="inlineStr">
        <is>
          <t>p0273</t>
        </is>
      </c>
      <c r="B274" t="inlineStr">
        <is>
          <t>Whiplash</t>
        </is>
      </c>
      <c r="C274" t="inlineStr">
        <is>
          <t>Whiplash</t>
        </is>
      </c>
      <c r="D274" s="4" t="n">
        <v>2014</v>
      </c>
      <c r="E274" s="4">
        <f>IF(D274="","",FLOOR(D274,10))</f>
        <v/>
      </c>
      <c r="F274" s="22" t="n">
        <v>103</v>
      </c>
      <c r="G274" s="23" t="n">
        <v>8.699999999999999</v>
      </c>
      <c r="H274" t="inlineStr">
        <is>
          <t>Damien Chazelle</t>
        </is>
      </c>
      <c r="I274" t="inlineStr">
        <is>
          <t>Estados Unidos</t>
        </is>
      </c>
      <c r="J274" t="inlineStr">
        <is>
          <t>Drama, Musical</t>
        </is>
      </c>
      <c r="M274" s="6" t="n"/>
      <c r="O274" s="24" t="inlineStr"/>
      <c r="Q274" s="25" t="n">
        <v>135388</v>
      </c>
      <c r="R274" s="25" t="n">
        <v>14003391</v>
      </c>
      <c r="S274" s="25" t="n">
        <v>36418755</v>
      </c>
      <c r="T274" s="25">
        <f>IF(AND(R274="",S274=""),"",N(R274)+N(S274))</f>
        <v/>
      </c>
      <c r="U274" s="25" t="n"/>
      <c r="V274" s="26" t="inlineStr">
        <is>
          <t>IMDb</t>
        </is>
      </c>
      <c r="W274" s="26" t="inlineStr">
        <is>
          <t>FilmAffinity</t>
        </is>
      </c>
      <c r="X274" s="26" t="inlineStr">
        <is>
          <t>Letterboxd</t>
        </is>
      </c>
    </row>
    <row r="275">
      <c r="A275" t="inlineStr">
        <is>
          <t>p0274</t>
        </is>
      </c>
      <c r="B275" t="inlineStr">
        <is>
          <t>La isla mínima</t>
        </is>
      </c>
      <c r="C275" t="inlineStr">
        <is>
          <t>La isla mínima</t>
        </is>
      </c>
      <c r="D275" s="4" t="n">
        <v>2014</v>
      </c>
      <c r="E275" s="4">
        <f>IF(D275="","",FLOOR(D275,10))</f>
        <v/>
      </c>
      <c r="F275" s="22" t="n">
        <v>105</v>
      </c>
      <c r="G275" s="23" t="n">
        <v>8.1</v>
      </c>
      <c r="H275" t="inlineStr">
        <is>
          <t>Alberto Rodríguez</t>
        </is>
      </c>
      <c r="I275" t="inlineStr">
        <is>
          <t>España</t>
        </is>
      </c>
      <c r="J275" t="inlineStr">
        <is>
          <t>Thriller, Crimen</t>
        </is>
      </c>
      <c r="M275" s="6" t="n"/>
      <c r="O275" s="24" t="inlineStr"/>
      <c r="Q275" s="25" t="n">
        <v>1202976</v>
      </c>
      <c r="R275" s="25" t="n">
        <v>7309360</v>
      </c>
      <c r="S275" s="25" t="n">
        <v>9014591</v>
      </c>
      <c r="T275" s="25">
        <f>IF(AND(R275="",S275=""),"",N(R275)+N(S275))</f>
        <v/>
      </c>
      <c r="U275" s="25" t="n"/>
      <c r="V275" s="26" t="inlineStr">
        <is>
          <t>IMDb</t>
        </is>
      </c>
      <c r="W275" s="26" t="inlineStr">
        <is>
          <t>FilmAffinity</t>
        </is>
      </c>
      <c r="X275" s="26" t="inlineStr">
        <is>
          <t>Letterboxd</t>
        </is>
      </c>
    </row>
    <row r="276">
      <c r="A276" t="inlineStr">
        <is>
          <t>p0275</t>
        </is>
      </c>
      <c r="B276" t="inlineStr">
        <is>
          <t>Perdida</t>
        </is>
      </c>
      <c r="C276" t="inlineStr">
        <is>
          <t>Gone Girl</t>
        </is>
      </c>
      <c r="D276" s="4" t="n">
        <v>2014</v>
      </c>
      <c r="E276" s="4">
        <f>IF(D276="","",FLOOR(D276,10))</f>
        <v/>
      </c>
      <c r="F276" s="22" t="n">
        <v>149</v>
      </c>
      <c r="G276" s="23" t="n">
        <v>8</v>
      </c>
      <c r="H276" t="inlineStr">
        <is>
          <t>David Fincher</t>
        </is>
      </c>
      <c r="I276" t="inlineStr">
        <is>
          <t>Estados Unidos</t>
        </is>
      </c>
      <c r="J276" t="inlineStr">
        <is>
          <t>Thriller, Misterio, Drama</t>
        </is>
      </c>
      <c r="M276" s="6" t="n"/>
      <c r="O276" s="24" t="inlineStr"/>
      <c r="Q276" s="25" t="n">
        <v>37513109</v>
      </c>
      <c r="R276" s="25" t="n">
        <v>167767189</v>
      </c>
      <c r="S276" s="25" t="n">
        <v>203122897</v>
      </c>
      <c r="T276" s="25">
        <f>IF(AND(R276="",S276=""),"",N(R276)+N(S276))</f>
        <v/>
      </c>
      <c r="U276" s="25" t="n"/>
      <c r="V276" s="26" t="inlineStr">
        <is>
          <t>IMDb</t>
        </is>
      </c>
      <c r="W276" s="26" t="inlineStr">
        <is>
          <t>FilmAffinity</t>
        </is>
      </c>
      <c r="X276" s="26" t="inlineStr">
        <is>
          <t>Letterboxd</t>
        </is>
      </c>
    </row>
    <row r="277">
      <c r="A277" t="inlineStr">
        <is>
          <t>p0276</t>
        </is>
      </c>
      <c r="B277" t="inlineStr">
        <is>
          <t>Birdman</t>
        </is>
      </c>
      <c r="C277" t="inlineStr">
        <is>
          <t>Birdman</t>
        </is>
      </c>
      <c r="D277" s="4" t="n">
        <v>2014</v>
      </c>
      <c r="E277" s="4">
        <f>IF(D277="","",FLOOR(D277,10))</f>
        <v/>
      </c>
      <c r="F277" s="22" t="n">
        <v>118</v>
      </c>
      <c r="G277" s="23" t="n">
        <v>7.9</v>
      </c>
      <c r="H277" t="inlineStr">
        <is>
          <t>Alejandro González Iñárritu</t>
        </is>
      </c>
      <c r="I277" t="inlineStr">
        <is>
          <t>Estados Unidos</t>
        </is>
      </c>
      <c r="J277" t="inlineStr">
        <is>
          <t>Comedia, Drama</t>
        </is>
      </c>
      <c r="M277" s="6" t="n"/>
      <c r="O277" s="24" t="inlineStr"/>
      <c r="Q277" s="25" t="n">
        <v>424397</v>
      </c>
      <c r="R277" s="25" t="n">
        <v>42340598</v>
      </c>
      <c r="S277" s="25" t="n">
        <v>60874496</v>
      </c>
      <c r="T277" s="25">
        <f>IF(AND(R277="",S277=""),"",N(R277)+N(S277))</f>
        <v/>
      </c>
      <c r="U277" s="25" t="n"/>
      <c r="V277" s="26" t="inlineStr">
        <is>
          <t>IMDb</t>
        </is>
      </c>
      <c r="W277" s="26" t="inlineStr">
        <is>
          <t>FilmAffinity</t>
        </is>
      </c>
      <c r="X277" s="26" t="inlineStr">
        <is>
          <t>Letterboxd</t>
        </is>
      </c>
    </row>
    <row r="278">
      <c r="A278" t="inlineStr">
        <is>
          <t>p0277</t>
        </is>
      </c>
      <c r="B278" t="inlineStr">
        <is>
          <t>Guardianes de la Galaxia</t>
        </is>
      </c>
      <c r="C278" t="inlineStr">
        <is>
          <t>Guardians of the Galaxy</t>
        </is>
      </c>
      <c r="D278" s="4" t="n">
        <v>2014</v>
      </c>
      <c r="E278" s="4">
        <f>IF(D278="","",FLOOR(D278,10))</f>
        <v/>
      </c>
      <c r="F278" s="22" t="n">
        <v>118</v>
      </c>
      <c r="G278" s="23" t="n">
        <v>7.7</v>
      </c>
      <c r="H278" t="inlineStr">
        <is>
          <t>James Gunn</t>
        </is>
      </c>
      <c r="I278" t="inlineStr">
        <is>
          <t>Estados Unidos</t>
        </is>
      </c>
      <c r="J278" t="inlineStr">
        <is>
          <t>Superhéroes, Ciencia ficción, Comedia</t>
        </is>
      </c>
      <c r="K278" t="inlineStr">
        <is>
          <t>UCM</t>
        </is>
      </c>
      <c r="L278" t="inlineStr">
        <is>
          <t>Fase 2 · Saga del Infinito</t>
        </is>
      </c>
      <c r="M278" s="6" t="n"/>
      <c r="O278" s="24" t="inlineStr"/>
      <c r="Q278" s="25" t="n">
        <v>94320883</v>
      </c>
      <c r="R278" s="25" t="n">
        <v>333718600</v>
      </c>
      <c r="S278" s="25" t="n">
        <v>439631547</v>
      </c>
      <c r="T278" s="25">
        <f>IF(AND(R278="",S278=""),"",N(R278)+N(S278))</f>
        <v/>
      </c>
      <c r="U278" s="25" t="n">
        <v>170000000</v>
      </c>
      <c r="V278" s="26" t="inlineStr">
        <is>
          <t>IMDb</t>
        </is>
      </c>
      <c r="W278" s="26" t="inlineStr">
        <is>
          <t>FilmAffinity</t>
        </is>
      </c>
      <c r="X278" s="26" t="inlineStr">
        <is>
          <t>Letterboxd</t>
        </is>
      </c>
    </row>
    <row r="279">
      <c r="A279" t="inlineStr">
        <is>
          <t>p0278</t>
        </is>
      </c>
      <c r="B279" t="inlineStr">
        <is>
          <t>Nightcrawler</t>
        </is>
      </c>
      <c r="C279" t="inlineStr">
        <is>
          <t>Nightcrawler</t>
        </is>
      </c>
      <c r="D279" s="4" t="n">
        <v>2014</v>
      </c>
      <c r="E279" s="4">
        <f>IF(D279="","",FLOOR(D279,10))</f>
        <v/>
      </c>
      <c r="F279" s="22" t="n">
        <v>113</v>
      </c>
      <c r="G279" s="23" t="n">
        <v>7.6</v>
      </c>
      <c r="H279" t="inlineStr">
        <is>
          <t>Dan Gilroy</t>
        </is>
      </c>
      <c r="I279" t="inlineStr">
        <is>
          <t>Estados Unidos</t>
        </is>
      </c>
      <c r="J279" t="inlineStr">
        <is>
          <t>Thriller, Crimen, Drama</t>
        </is>
      </c>
      <c r="M279" s="6" t="n"/>
      <c r="O279" s="24" t="inlineStr"/>
      <c r="Q279" s="25" t="n">
        <v>10441000</v>
      </c>
      <c r="R279" s="25" t="n">
        <v>32381217</v>
      </c>
      <c r="S279" s="25" t="n">
        <v>15044618</v>
      </c>
      <c r="T279" s="25">
        <f>IF(AND(R279="",S279=""),"",N(R279)+N(S279))</f>
        <v/>
      </c>
      <c r="U279" s="25" t="n"/>
      <c r="V279" s="26" t="inlineStr">
        <is>
          <t>IMDb</t>
        </is>
      </c>
      <c r="W279" s="26" t="inlineStr">
        <is>
          <t>FilmAffinity</t>
        </is>
      </c>
      <c r="X279" s="26" t="inlineStr">
        <is>
          <t>Letterboxd</t>
        </is>
      </c>
    </row>
    <row r="280">
      <c r="A280" t="inlineStr">
        <is>
          <t>p0279</t>
        </is>
      </c>
      <c r="B280" t="inlineStr">
        <is>
          <t>Kingsman: Servicio Secreto</t>
        </is>
      </c>
      <c r="C280" t="inlineStr">
        <is>
          <t>Kingsman: The Secret Service</t>
        </is>
      </c>
      <c r="D280" s="4" t="n">
        <v>2014</v>
      </c>
      <c r="E280" s="4">
        <f>IF(D280="","",FLOOR(D280,10))</f>
        <v/>
      </c>
      <c r="F280" s="22" t="n">
        <v>129</v>
      </c>
      <c r="G280" s="23" t="n">
        <v>7.6</v>
      </c>
      <c r="H280" t="inlineStr">
        <is>
          <t>Matthew Vaughn</t>
        </is>
      </c>
      <c r="I280" t="inlineStr">
        <is>
          <t>Reino Unido</t>
        </is>
      </c>
      <c r="J280" t="inlineStr">
        <is>
          <t>Acción, Comedia</t>
        </is>
      </c>
      <c r="K280" t="inlineStr">
        <is>
          <t>Kingsman</t>
        </is>
      </c>
      <c r="M280" s="6" t="n"/>
      <c r="O280" s="24" t="inlineStr"/>
      <c r="Q280" s="25" t="n">
        <v>36206331</v>
      </c>
      <c r="R280" s="25" t="n">
        <v>128261724</v>
      </c>
      <c r="S280" s="25" t="n">
        <v>286089822</v>
      </c>
      <c r="T280" s="25">
        <f>IF(AND(R280="",S280=""),"",N(R280)+N(S280))</f>
        <v/>
      </c>
      <c r="U280" s="25" t="n"/>
      <c r="V280" s="26" t="inlineStr">
        <is>
          <t>IMDb</t>
        </is>
      </c>
      <c r="W280" s="26" t="inlineStr">
        <is>
          <t>FilmAffinity</t>
        </is>
      </c>
      <c r="X280" s="26" t="inlineStr">
        <is>
          <t>Letterboxd</t>
        </is>
      </c>
    </row>
    <row r="281">
      <c r="A281" t="inlineStr">
        <is>
          <t>p0280</t>
        </is>
      </c>
      <c r="B281" t="inlineStr">
        <is>
          <t>Capitán América: El Soldado de Invierno</t>
        </is>
      </c>
      <c r="C281" t="inlineStr">
        <is>
          <t>Captain America: The Winter Soldier</t>
        </is>
      </c>
      <c r="D281" s="4" t="n">
        <v>2014</v>
      </c>
      <c r="E281" s="4">
        <f>IF(D281="","",FLOOR(D281,10))</f>
        <v/>
      </c>
      <c r="F281" s="22" t="n">
        <v>136</v>
      </c>
      <c r="G281" s="23" t="n">
        <v>7.4</v>
      </c>
      <c r="H281" t="inlineStr">
        <is>
          <t>Anthony Russo / Joe Russo</t>
        </is>
      </c>
      <c r="I281" t="inlineStr">
        <is>
          <t>Estados Unidos</t>
        </is>
      </c>
      <c r="J281" t="inlineStr">
        <is>
          <t>Superhéroes, Acción, Thriller</t>
        </is>
      </c>
      <c r="K281" t="inlineStr">
        <is>
          <t>UCM</t>
        </is>
      </c>
      <c r="L281" t="inlineStr">
        <is>
          <t>Fase 2 · Saga del Infinito</t>
        </is>
      </c>
      <c r="M281" s="6" t="n"/>
      <c r="O281" s="24" t="inlineStr"/>
      <c r="Q281" s="25" t="n">
        <v>95023721</v>
      </c>
      <c r="R281" s="25" t="n">
        <v>259766572</v>
      </c>
      <c r="S281" s="25" t="n">
        <v>454654931</v>
      </c>
      <c r="T281" s="25">
        <f>IF(AND(R281="",S281=""),"",N(R281)+N(S281))</f>
        <v/>
      </c>
      <c r="U281" s="25" t="n">
        <v>170000000</v>
      </c>
      <c r="V281" s="26" t="inlineStr">
        <is>
          <t>IMDb</t>
        </is>
      </c>
      <c r="W281" s="26" t="inlineStr">
        <is>
          <t>FilmAffinity</t>
        </is>
      </c>
      <c r="X281" s="26" t="inlineStr">
        <is>
          <t>Letterboxd</t>
        </is>
      </c>
    </row>
    <row r="282">
      <c r="A282" t="inlineStr">
        <is>
          <t>p0281</t>
        </is>
      </c>
      <c r="B282" t="inlineStr">
        <is>
          <t>It Follows</t>
        </is>
      </c>
      <c r="C282" t="inlineStr">
        <is>
          <t>It Follows</t>
        </is>
      </c>
      <c r="D282" s="4" t="n">
        <v>2014</v>
      </c>
      <c r="E282" s="4">
        <f>IF(D282="","",FLOOR(D282,10))</f>
        <v/>
      </c>
      <c r="F282" s="22" t="n">
        <v>100</v>
      </c>
      <c r="G282" s="23" t="n">
        <v>6.5</v>
      </c>
      <c r="H282" t="inlineStr">
        <is>
          <t>David Robert Mitchell</t>
        </is>
      </c>
      <c r="I282" t="inlineStr">
        <is>
          <t>Estados Unidos</t>
        </is>
      </c>
      <c r="J282" t="inlineStr">
        <is>
          <t>Terror</t>
        </is>
      </c>
      <c r="K282" t="inlineStr">
        <is>
          <t>It</t>
        </is>
      </c>
      <c r="M282" s="6" t="n"/>
      <c r="O282" s="24" t="inlineStr"/>
      <c r="Q282" s="25" t="n">
        <v>160089</v>
      </c>
      <c r="R282" s="25" t="n">
        <v>14674076</v>
      </c>
      <c r="S282" s="25" t="n">
        <v>7320463</v>
      </c>
      <c r="T282" s="25">
        <f>IF(AND(R282="",S282=""),"",N(R282)+N(S282))</f>
        <v/>
      </c>
      <c r="U282" s="25" t="n"/>
      <c r="V282" s="26" t="inlineStr">
        <is>
          <t>IMDb</t>
        </is>
      </c>
      <c r="W282" s="26" t="inlineStr">
        <is>
          <t>FilmAffinity</t>
        </is>
      </c>
      <c r="X282" s="26" t="inlineStr">
        <is>
          <t>Letterboxd</t>
        </is>
      </c>
    </row>
    <row r="283">
      <c r="A283" t="inlineStr">
        <is>
          <t>p0282</t>
        </is>
      </c>
      <c r="B283" t="inlineStr">
        <is>
          <t>Ocho apellidos vascos</t>
        </is>
      </c>
      <c r="C283" t="inlineStr">
        <is>
          <t>Ocho apellidos vascos</t>
        </is>
      </c>
      <c r="D283" s="4" t="n">
        <v>2014</v>
      </c>
      <c r="E283" s="4">
        <f>IF(D283="","",FLOOR(D283,10))</f>
        <v/>
      </c>
      <c r="F283" s="22" t="n">
        <v>98</v>
      </c>
      <c r="G283" s="23" t="n">
        <v>6.5</v>
      </c>
      <c r="H283" t="inlineStr">
        <is>
          <t>Emilio Martínez-Lázaro</t>
        </is>
      </c>
      <c r="I283" t="inlineStr">
        <is>
          <t>España</t>
        </is>
      </c>
      <c r="J283" t="inlineStr">
        <is>
          <t>Comedia, Romance</t>
        </is>
      </c>
      <c r="K283" t="inlineStr">
        <is>
          <t>Ocho apellidos</t>
        </is>
      </c>
      <c r="M283" s="6" t="n"/>
      <c r="O283" s="24" t="inlineStr"/>
      <c r="Q283" s="25" t="n">
        <v>3950840</v>
      </c>
      <c r="R283" s="25" t="n">
        <v>77460837</v>
      </c>
      <c r="S283" s="25" t="n">
        <v>78768613</v>
      </c>
      <c r="T283" s="25">
        <f>IF(AND(R283="",S283=""),"",N(R283)+N(S283))</f>
        <v/>
      </c>
      <c r="U283" s="25" t="n"/>
      <c r="V283" s="26" t="inlineStr">
        <is>
          <t>IMDb</t>
        </is>
      </c>
      <c r="W283" s="26" t="inlineStr">
        <is>
          <t>FilmAffinity</t>
        </is>
      </c>
      <c r="X283" s="26" t="inlineStr">
        <is>
          <t>Letterboxd</t>
        </is>
      </c>
    </row>
    <row r="284">
      <c r="A284" t="inlineStr">
        <is>
          <t>p0283</t>
        </is>
      </c>
      <c r="B284" t="inlineStr">
        <is>
          <t>Creep</t>
        </is>
      </c>
      <c r="C284" t="inlineStr">
        <is>
          <t>Creep</t>
        </is>
      </c>
      <c r="D284" s="4" t="n">
        <v>2014</v>
      </c>
      <c r="E284" s="4">
        <f>IF(D284="","",FLOOR(D284,10))</f>
        <v/>
      </c>
      <c r="F284" s="22" t="n">
        <v>82</v>
      </c>
      <c r="G284" s="23" t="n">
        <v>6.4</v>
      </c>
      <c r="H284" t="inlineStr">
        <is>
          <t>Patrick Brice</t>
        </is>
      </c>
      <c r="I284" t="inlineStr">
        <is>
          <t>Estados Unidos</t>
        </is>
      </c>
      <c r="J284" t="inlineStr">
        <is>
          <t>Terror</t>
        </is>
      </c>
      <c r="M284" s="6" t="n"/>
      <c r="O284" s="24" t="inlineStr"/>
      <c r="Q284" s="25" t="n"/>
      <c r="R284" s="25" t="n"/>
      <c r="S284" s="25" t="n"/>
      <c r="T284" s="25">
        <f>IF(AND(R284="",S284=""),"",N(R284)+N(S284))</f>
        <v/>
      </c>
      <c r="U284" s="25" t="n"/>
      <c r="V284" s="26" t="inlineStr">
        <is>
          <t>IMDb</t>
        </is>
      </c>
      <c r="W284" s="26" t="inlineStr">
        <is>
          <t>FilmAffinity</t>
        </is>
      </c>
      <c r="X284" s="26" t="inlineStr">
        <is>
          <t>Letterboxd</t>
        </is>
      </c>
    </row>
    <row r="285">
      <c r="A285" t="inlineStr">
        <is>
          <t>p0284</t>
        </is>
      </c>
      <c r="B285" t="inlineStr">
        <is>
          <t>The Amazing Spider-Man 2: El Poder de Electro</t>
        </is>
      </c>
      <c r="C285" t="inlineStr">
        <is>
          <t>The Amazing Spider-Man 2</t>
        </is>
      </c>
      <c r="D285" s="4" t="n">
        <v>2014</v>
      </c>
      <c r="E285" s="4">
        <f>IF(D285="","",FLOOR(D285,10))</f>
        <v/>
      </c>
      <c r="F285" s="22" t="n">
        <v>142</v>
      </c>
      <c r="G285" s="23" t="n">
        <v>6.3</v>
      </c>
      <c r="H285" t="inlineStr">
        <is>
          <t>Marc Webb</t>
        </is>
      </c>
      <c r="I285" t="inlineStr">
        <is>
          <t>Estados Unidos</t>
        </is>
      </c>
      <c r="J285" t="inlineStr">
        <is>
          <t>Superhéroes, Acción</t>
        </is>
      </c>
      <c r="K285" t="inlineStr">
        <is>
          <t>Spider-Man</t>
        </is>
      </c>
      <c r="M285" s="6" t="n"/>
      <c r="O285" s="24" t="inlineStr"/>
      <c r="Q285" s="25" t="n">
        <v>91608337</v>
      </c>
      <c r="R285" s="25" t="n">
        <v>203605622</v>
      </c>
      <c r="S285" s="25" t="n">
        <v>513278887</v>
      </c>
      <c r="T285" s="25">
        <f>IF(AND(R285="",S285=""),"",N(R285)+N(S285))</f>
        <v/>
      </c>
      <c r="U285" s="25" t="n"/>
      <c r="V285" s="26" t="inlineStr">
        <is>
          <t>IMDb</t>
        </is>
      </c>
      <c r="W285" s="26" t="inlineStr">
        <is>
          <t>FilmAffinity</t>
        </is>
      </c>
      <c r="X285" s="26" t="inlineStr">
        <is>
          <t>Letterboxd</t>
        </is>
      </c>
    </row>
    <row r="286">
      <c r="A286" t="inlineStr">
        <is>
          <t>p0285</t>
        </is>
      </c>
      <c r="B286" t="inlineStr">
        <is>
          <t>Eliminado</t>
        </is>
      </c>
      <c r="C286" t="inlineStr">
        <is>
          <t>Unfriended</t>
        </is>
      </c>
      <c r="D286" s="4" t="n">
        <v>2014</v>
      </c>
      <c r="E286" s="4">
        <f>IF(D286="","",FLOOR(D286,10))</f>
        <v/>
      </c>
      <c r="F286" s="22" t="n">
        <v>82</v>
      </c>
      <c r="G286" s="23" t="n">
        <v>5.8</v>
      </c>
      <c r="H286" t="inlineStr">
        <is>
          <t>Levan Gabriadze</t>
        </is>
      </c>
      <c r="I286" t="inlineStr">
        <is>
          <t>Estados Unidos</t>
        </is>
      </c>
      <c r="J286" t="inlineStr">
        <is>
          <t>Terror</t>
        </is>
      </c>
      <c r="M286" s="6" t="n"/>
      <c r="O286" s="24" t="inlineStr"/>
      <c r="Q286" s="25" t="n">
        <v>15845115</v>
      </c>
      <c r="R286" s="25" t="n">
        <v>32482090</v>
      </c>
      <c r="S286" s="25" t="n">
        <v>30400000</v>
      </c>
      <c r="T286" s="25">
        <f>IF(AND(R286="",S286=""),"",N(R286)+N(S286))</f>
        <v/>
      </c>
      <c r="U286" s="25" t="n"/>
      <c r="V286" s="26" t="inlineStr">
        <is>
          <t>IMDb</t>
        </is>
      </c>
      <c r="W286" s="26" t="inlineStr">
        <is>
          <t>FilmAffinity</t>
        </is>
      </c>
      <c r="X286" s="26" t="inlineStr">
        <is>
          <t>Letterboxd</t>
        </is>
      </c>
    </row>
    <row r="287">
      <c r="A287" t="inlineStr">
        <is>
          <t>p0286</t>
        </is>
      </c>
      <c r="B287" t="inlineStr">
        <is>
          <t>La cueva</t>
        </is>
      </c>
      <c r="C287" t="inlineStr">
        <is>
          <t>La cueva</t>
        </is>
      </c>
      <c r="D287" s="4" t="n">
        <v>2014</v>
      </c>
      <c r="E287" s="4">
        <f>IF(D287="","",FLOOR(D287,10))</f>
        <v/>
      </c>
      <c r="F287" s="22" t="n">
        <v>80</v>
      </c>
      <c r="G287" s="23" t="n">
        <v>5.3</v>
      </c>
      <c r="H287" t="inlineStr">
        <is>
          <t>Alfredo Montero</t>
        </is>
      </c>
      <c r="I287" t="inlineStr">
        <is>
          <t>España</t>
        </is>
      </c>
      <c r="J287" t="inlineStr">
        <is>
          <t>Terror</t>
        </is>
      </c>
      <c r="M287" s="6" t="n"/>
      <c r="O287" s="24" t="inlineStr"/>
      <c r="Q287" s="25" t="n">
        <v>70411</v>
      </c>
      <c r="R287" s="25" t="n">
        <v>221858</v>
      </c>
      <c r="S287" s="25" t="n"/>
      <c r="T287" s="25">
        <f>IF(AND(R287="",S287=""),"",N(R287)+N(S287))</f>
        <v/>
      </c>
      <c r="U287" s="25" t="n"/>
      <c r="V287" s="26" t="inlineStr">
        <is>
          <t>IMDb</t>
        </is>
      </c>
      <c r="W287" s="26" t="inlineStr">
        <is>
          <t>FilmAffinity</t>
        </is>
      </c>
      <c r="X287" s="26" t="inlineStr">
        <is>
          <t>Letterboxd</t>
        </is>
      </c>
    </row>
    <row r="288">
      <c r="A288" t="inlineStr">
        <is>
          <t>p0287</t>
        </is>
      </c>
      <c r="B288" t="inlineStr">
        <is>
          <t>Stereo</t>
        </is>
      </c>
      <c r="C288" t="inlineStr">
        <is>
          <t>Stereo</t>
        </is>
      </c>
      <c r="D288" s="4" t="n">
        <v>2014</v>
      </c>
      <c r="E288" s="4">
        <f>IF(D288="","",FLOOR(D288,10))</f>
        <v/>
      </c>
      <c r="F288" s="22" t="n">
        <v>95</v>
      </c>
      <c r="G288" s="23" t="n">
        <v>5.3</v>
      </c>
      <c r="H288" t="inlineStr">
        <is>
          <t>Maximilian Erlenwein</t>
        </is>
      </c>
      <c r="I288" t="inlineStr">
        <is>
          <t>Alemania</t>
        </is>
      </c>
      <c r="J288" t="inlineStr">
        <is>
          <t>Thriller</t>
        </is>
      </c>
      <c r="M288" s="6" t="n"/>
      <c r="O288" s="24" t="inlineStr"/>
      <c r="Q288" s="25" t="n">
        <v>218371</v>
      </c>
      <c r="R288" s="25" t="n">
        <v>796042</v>
      </c>
      <c r="S288" s="25" t="n"/>
      <c r="T288" s="25">
        <f>IF(AND(R288="",S288=""),"",N(R288)+N(S288))</f>
        <v/>
      </c>
      <c r="U288" s="25" t="n"/>
      <c r="V288" s="26" t="inlineStr">
        <is>
          <t>IMDb</t>
        </is>
      </c>
      <c r="W288" s="26" t="inlineStr">
        <is>
          <t>FilmAffinity</t>
        </is>
      </c>
      <c r="X288" s="26" t="inlineStr">
        <is>
          <t>Letterboxd</t>
        </is>
      </c>
    </row>
    <row r="289">
      <c r="A289" t="inlineStr">
        <is>
          <t>p0288</t>
        </is>
      </c>
      <c r="B289" t="inlineStr">
        <is>
          <t>La Purga: Anarchy</t>
        </is>
      </c>
      <c r="C289" t="inlineStr">
        <is>
          <t>The Purge: Anarchy</t>
        </is>
      </c>
      <c r="D289" s="4" t="n">
        <v>2014</v>
      </c>
      <c r="E289" s="4">
        <f>IF(D289="","",FLOOR(D289,10))</f>
        <v/>
      </c>
      <c r="F289" s="22" t="n">
        <v>103</v>
      </c>
      <c r="G289" s="23" t="n">
        <v>5.1</v>
      </c>
      <c r="H289" t="inlineStr">
        <is>
          <t>James Demonaco</t>
        </is>
      </c>
      <c r="I289" t="inlineStr">
        <is>
          <t>Estados Unidos</t>
        </is>
      </c>
      <c r="J289" t="inlineStr">
        <is>
          <t>Terror, Acción</t>
        </is>
      </c>
      <c r="K289" t="inlineStr">
        <is>
          <t>La Purga</t>
        </is>
      </c>
      <c r="M289" s="6" t="n"/>
      <c r="O289" s="24" t="inlineStr"/>
      <c r="Q289" s="25" t="n">
        <v>29816675</v>
      </c>
      <c r="R289" s="25" t="n">
        <v>71962800</v>
      </c>
      <c r="S289" s="25" t="n">
        <v>39965565</v>
      </c>
      <c r="T289" s="25">
        <f>IF(AND(R289="",S289=""),"",N(R289)+N(S289))</f>
        <v/>
      </c>
      <c r="U289" s="25" t="n"/>
      <c r="V289" s="26" t="inlineStr">
        <is>
          <t>IMDb</t>
        </is>
      </c>
      <c r="W289" s="26" t="inlineStr">
        <is>
          <t>FilmAffinity</t>
        </is>
      </c>
      <c r="X289" s="26" t="inlineStr">
        <is>
          <t>Letterboxd</t>
        </is>
      </c>
    </row>
    <row r="290">
      <c r="A290" t="inlineStr">
        <is>
          <t>p0289</t>
        </is>
      </c>
      <c r="B290" t="inlineStr">
        <is>
          <t>La Entrevista</t>
        </is>
      </c>
      <c r="C290" t="inlineStr">
        <is>
          <t>The Interview</t>
        </is>
      </c>
      <c r="D290" s="4" t="n">
        <v>2014</v>
      </c>
      <c r="E290" s="4">
        <f>IF(D290="","",FLOOR(D290,10))</f>
        <v/>
      </c>
      <c r="F290" s="22" t="n">
        <v>112</v>
      </c>
      <c r="G290" s="23" t="n">
        <v>4.9</v>
      </c>
      <c r="H290" t="inlineStr">
        <is>
          <t>Evan Goldberg / Seth Rogen</t>
        </is>
      </c>
      <c r="I290" t="inlineStr">
        <is>
          <t>Estados Unidos</t>
        </is>
      </c>
      <c r="J290" t="inlineStr">
        <is>
          <t>Comedia</t>
        </is>
      </c>
      <c r="M290" s="6" t="n"/>
      <c r="O290" s="24" t="inlineStr"/>
      <c r="Q290" s="25" t="n"/>
      <c r="R290" s="25" t="n"/>
      <c r="S290" s="25" t="n"/>
      <c r="T290" s="25">
        <f>IF(AND(R290="",S290=""),"",N(R290)+N(S290))</f>
        <v/>
      </c>
      <c r="U290" s="25" t="n"/>
      <c r="V290" s="26" t="inlineStr">
        <is>
          <t>IMDb</t>
        </is>
      </c>
      <c r="W290" s="26" t="inlineStr">
        <is>
          <t>FilmAffinity</t>
        </is>
      </c>
      <c r="X290" s="26" t="inlineStr">
        <is>
          <t>Letterboxd</t>
        </is>
      </c>
    </row>
    <row r="291">
      <c r="A291" t="inlineStr">
        <is>
          <t>p0290</t>
        </is>
      </c>
      <c r="B291" t="inlineStr">
        <is>
          <t>Torrente 5: Operación Eurovegas</t>
        </is>
      </c>
      <c r="C291" t="inlineStr">
        <is>
          <t>Torrente 5: Operación Eurovegas</t>
        </is>
      </c>
      <c r="D291" s="4" t="n">
        <v>2014</v>
      </c>
      <c r="E291" s="4">
        <f>IF(D291="","",FLOOR(D291,10))</f>
        <v/>
      </c>
      <c r="F291" s="22" t="n">
        <v>105</v>
      </c>
      <c r="G291" s="23" t="n">
        <v>4.8</v>
      </c>
      <c r="H291" t="inlineStr">
        <is>
          <t>Santiago Segura</t>
        </is>
      </c>
      <c r="I291" t="inlineStr">
        <is>
          <t>España</t>
        </is>
      </c>
      <c r="J291" t="inlineStr">
        <is>
          <t>Comedia, Acción</t>
        </is>
      </c>
      <c r="K291" t="inlineStr">
        <is>
          <t>Torrente</t>
        </is>
      </c>
      <c r="M291" s="6" t="n"/>
      <c r="O291" s="24" t="inlineStr"/>
      <c r="Q291" s="25" t="n">
        <v>4648533</v>
      </c>
      <c r="R291" s="25" t="n">
        <v>13851074</v>
      </c>
      <c r="S291" s="25" t="n"/>
      <c r="T291" s="25">
        <f>IF(AND(R291="",S291=""),"",N(R291)+N(S291))</f>
        <v/>
      </c>
      <c r="U291" s="25" t="n"/>
      <c r="V291" s="26" t="inlineStr">
        <is>
          <t>IMDb</t>
        </is>
      </c>
      <c r="W291" s="26" t="inlineStr">
        <is>
          <t>FilmAffinity</t>
        </is>
      </c>
      <c r="X291" s="26" t="inlineStr">
        <is>
          <t>Letterboxd</t>
        </is>
      </c>
    </row>
    <row r="292">
      <c r="A292" t="inlineStr">
        <is>
          <t>p0291</t>
        </is>
      </c>
      <c r="B292" t="inlineStr">
        <is>
          <t>Dos Tontos Todavía Más Tontos</t>
        </is>
      </c>
      <c r="C292" t="inlineStr">
        <is>
          <t>Dumb and Dumber To</t>
        </is>
      </c>
      <c r="D292" s="4" t="n">
        <v>2014</v>
      </c>
      <c r="E292" s="4">
        <f>IF(D292="","",FLOOR(D292,10))</f>
        <v/>
      </c>
      <c r="F292" s="22" t="n">
        <v>109</v>
      </c>
      <c r="G292" s="23" t="n">
        <v>3.8</v>
      </c>
      <c r="H292" t="inlineStr">
        <is>
          <t>Peter Farrelly / Bobby Farrelly</t>
        </is>
      </c>
      <c r="I292" t="inlineStr">
        <is>
          <t>Estados Unidos</t>
        </is>
      </c>
      <c r="J292" t="inlineStr">
        <is>
          <t>Comedia</t>
        </is>
      </c>
      <c r="K292" t="inlineStr">
        <is>
          <t>Dos tontos muy tontos</t>
        </is>
      </c>
      <c r="M292" s="6" t="n"/>
      <c r="O292" s="24" t="inlineStr"/>
      <c r="Q292" s="25" t="n">
        <v>36111775</v>
      </c>
      <c r="R292" s="25" t="n">
        <v>86208010</v>
      </c>
      <c r="S292" s="25" t="n">
        <v>83629000</v>
      </c>
      <c r="T292" s="25">
        <f>IF(AND(R292="",S292=""),"",N(R292)+N(S292))</f>
        <v/>
      </c>
      <c r="U292" s="25" t="n"/>
      <c r="V292" s="26" t="inlineStr">
        <is>
          <t>IMDb</t>
        </is>
      </c>
      <c r="W292" s="26" t="inlineStr">
        <is>
          <t>FilmAffinity</t>
        </is>
      </c>
      <c r="X292" s="26" t="inlineStr">
        <is>
          <t>Letterboxd</t>
        </is>
      </c>
    </row>
    <row r="293">
      <c r="A293" t="inlineStr">
        <is>
          <t>p0292</t>
        </is>
      </c>
      <c r="B293" t="inlineStr">
        <is>
          <t>REC 4</t>
        </is>
      </c>
      <c r="C293" t="inlineStr">
        <is>
          <t>REC 4: Apocalipsis</t>
        </is>
      </c>
      <c r="D293" s="4" t="n">
        <v>2014</v>
      </c>
      <c r="E293" s="4">
        <f>IF(D293="","",FLOOR(D293,10))</f>
        <v/>
      </c>
      <c r="F293" s="22" t="n">
        <v>95</v>
      </c>
      <c r="G293" s="23" t="n">
        <v>2.9</v>
      </c>
      <c r="H293" t="inlineStr">
        <is>
          <t>Jaume Balagueró</t>
        </is>
      </c>
      <c r="I293" t="inlineStr">
        <is>
          <t>España</t>
        </is>
      </c>
      <c r="J293" t="inlineStr">
        <is>
          <t>Terror</t>
        </is>
      </c>
      <c r="K293" t="inlineStr">
        <is>
          <t>REC</t>
        </is>
      </c>
      <c r="M293" s="6" t="n"/>
      <c r="O293" s="24" t="inlineStr"/>
      <c r="Q293" s="25" t="n">
        <v>61829</v>
      </c>
      <c r="R293" s="25" t="n">
        <v>1259390</v>
      </c>
      <c r="S293" s="25" t="n">
        <v>4914920</v>
      </c>
      <c r="T293" s="25">
        <f>IF(AND(R293="",S293=""),"",N(R293)+N(S293))</f>
        <v/>
      </c>
      <c r="U293" s="25" t="n"/>
      <c r="V293" s="26" t="inlineStr">
        <is>
          <t>IMDb</t>
        </is>
      </c>
      <c r="W293" s="26" t="inlineStr">
        <is>
          <t>FilmAffinity</t>
        </is>
      </c>
      <c r="X293" s="26" t="inlineStr">
        <is>
          <t>Letterboxd</t>
        </is>
      </c>
    </row>
    <row r="294">
      <c r="A294" t="inlineStr">
        <is>
          <t>p0293</t>
        </is>
      </c>
      <c r="B294" t="inlineStr">
        <is>
          <t>Her</t>
        </is>
      </c>
      <c r="C294" t="inlineStr">
        <is>
          <t>Her</t>
        </is>
      </c>
      <c r="D294" s="4" t="n">
        <v>2013</v>
      </c>
      <c r="E294" s="4">
        <f>IF(D294="","",FLOOR(D294,10))</f>
        <v/>
      </c>
      <c r="F294" s="22" t="n">
        <v>126</v>
      </c>
      <c r="G294" s="23" t="n">
        <v>9</v>
      </c>
      <c r="H294" t="inlineStr">
        <is>
          <t>Spike Jonze</t>
        </is>
      </c>
      <c r="I294" t="inlineStr">
        <is>
          <t>Estados Unidos</t>
        </is>
      </c>
      <c r="J294" t="inlineStr">
        <is>
          <t>Romance, Ciencia ficción, Drama</t>
        </is>
      </c>
      <c r="M294" s="6" t="n"/>
      <c r="O294" s="24" t="inlineStr"/>
      <c r="Q294" s="25" t="n">
        <v>260382</v>
      </c>
      <c r="R294" s="25" t="n">
        <v>25568251</v>
      </c>
      <c r="S294" s="25" t="n">
        <v>22523607</v>
      </c>
      <c r="T294" s="25">
        <f>IF(AND(R294="",S294=""),"",N(R294)+N(S294))</f>
        <v/>
      </c>
      <c r="U294" s="25" t="n"/>
      <c r="V294" s="26" t="inlineStr">
        <is>
          <t>IMDb</t>
        </is>
      </c>
      <c r="W294" s="26" t="inlineStr">
        <is>
          <t>FilmAffinity</t>
        </is>
      </c>
      <c r="X294" s="26" t="inlineStr">
        <is>
          <t>Letterboxd</t>
        </is>
      </c>
    </row>
    <row r="295">
      <c r="A295" t="inlineStr">
        <is>
          <t>p0294</t>
        </is>
      </c>
      <c r="B295" t="inlineStr">
        <is>
          <t>El lobo de Wall Street</t>
        </is>
      </c>
      <c r="C295" t="inlineStr">
        <is>
          <t>The Wolf of Wall Street</t>
        </is>
      </c>
      <c r="D295" s="4" t="n">
        <v>2013</v>
      </c>
      <c r="E295" s="4">
        <f>IF(D295="","",FLOOR(D295,10))</f>
        <v/>
      </c>
      <c r="F295" s="22" t="n">
        <v>179</v>
      </c>
      <c r="G295" s="23" t="n">
        <v>8.5</v>
      </c>
      <c r="H295" t="inlineStr">
        <is>
          <t>Martin Scorsese</t>
        </is>
      </c>
      <c r="I295" t="inlineStr">
        <is>
          <t>Estados Unidos</t>
        </is>
      </c>
      <c r="J295" t="inlineStr">
        <is>
          <t>Biográfico, Comedia, Crimen</t>
        </is>
      </c>
      <c r="M295" s="6" t="n"/>
      <c r="O295" s="24" t="inlineStr"/>
      <c r="Q295" s="25" t="n">
        <v>18361578</v>
      </c>
      <c r="R295" s="25" t="n">
        <v>116900694</v>
      </c>
      <c r="S295" s="25" t="n">
        <v>289977539</v>
      </c>
      <c r="T295" s="25">
        <f>IF(AND(R295="",S295=""),"",N(R295)+N(S295))</f>
        <v/>
      </c>
      <c r="U295" s="25" t="n"/>
      <c r="V295" s="26" t="inlineStr">
        <is>
          <t>IMDb</t>
        </is>
      </c>
      <c r="W295" s="26" t="inlineStr">
        <is>
          <t>FilmAffinity</t>
        </is>
      </c>
      <c r="X295" s="26" t="inlineStr">
        <is>
          <t>Letterboxd</t>
        </is>
      </c>
    </row>
    <row r="296">
      <c r="A296" t="inlineStr">
        <is>
          <t>p0295</t>
        </is>
      </c>
      <c r="B296" t="inlineStr">
        <is>
          <t>Coherence</t>
        </is>
      </c>
      <c r="C296" t="inlineStr">
        <is>
          <t>Coherence</t>
        </is>
      </c>
      <c r="D296" s="4" t="n">
        <v>2013</v>
      </c>
      <c r="E296" s="4">
        <f>IF(D296="","",FLOOR(D296,10))</f>
        <v/>
      </c>
      <c r="F296" s="22" t="n">
        <v>89</v>
      </c>
      <c r="G296" s="23" t="n">
        <v>8</v>
      </c>
      <c r="H296" t="inlineStr">
        <is>
          <t>James Ward Byrkit</t>
        </is>
      </c>
      <c r="I296" t="inlineStr">
        <is>
          <t>Estados Unidos</t>
        </is>
      </c>
      <c r="J296" t="inlineStr">
        <is>
          <t>Ciencia ficción, Thriller, Misterio</t>
        </is>
      </c>
      <c r="M296" s="6" t="n"/>
      <c r="O296" s="24" t="inlineStr"/>
      <c r="Q296" s="25" t="n">
        <v>17</v>
      </c>
      <c r="R296" s="25" t="n">
        <v>102617</v>
      </c>
      <c r="S296" s="25" t="n"/>
      <c r="T296" s="25">
        <f>IF(AND(R296="",S296=""),"",N(R296)+N(S296))</f>
        <v/>
      </c>
      <c r="U296" s="25" t="n"/>
      <c r="V296" s="26" t="inlineStr">
        <is>
          <t>IMDb</t>
        </is>
      </c>
      <c r="W296" s="26" t="inlineStr">
        <is>
          <t>FilmAffinity</t>
        </is>
      </c>
      <c r="X296" s="26" t="inlineStr">
        <is>
          <t>Letterboxd</t>
        </is>
      </c>
    </row>
    <row r="297">
      <c r="A297" t="inlineStr">
        <is>
          <t>p0296</t>
        </is>
      </c>
      <c r="B297" t="inlineStr">
        <is>
          <t>Expediente Warren: The Conjuring</t>
        </is>
      </c>
      <c r="C297" t="inlineStr">
        <is>
          <t>The Conjuring</t>
        </is>
      </c>
      <c r="D297" s="4" t="n">
        <v>2013</v>
      </c>
      <c r="E297" s="4">
        <f>IF(D297="","",FLOOR(D297,10))</f>
        <v/>
      </c>
      <c r="F297" s="22" t="n">
        <v>112</v>
      </c>
      <c r="G297" s="23" t="n">
        <v>7.6</v>
      </c>
      <c r="H297" t="inlineStr">
        <is>
          <t>James Wan</t>
        </is>
      </c>
      <c r="I297" t="inlineStr">
        <is>
          <t>Estados Unidos</t>
        </is>
      </c>
      <c r="J297" t="inlineStr">
        <is>
          <t>Terror</t>
        </is>
      </c>
      <c r="K297" t="inlineStr">
        <is>
          <t>Universo Expediente Warren</t>
        </is>
      </c>
      <c r="M297" s="6" t="n"/>
      <c r="O297" s="24" t="inlineStr"/>
      <c r="Q297" s="25" t="n">
        <v>41855326</v>
      </c>
      <c r="R297" s="25" t="n">
        <v>137446368</v>
      </c>
      <c r="S297" s="25" t="n">
        <v>183838706</v>
      </c>
      <c r="T297" s="25">
        <f>IF(AND(R297="",S297=""),"",N(R297)+N(S297))</f>
        <v/>
      </c>
      <c r="U297" s="25" t="n"/>
      <c r="V297" s="26" t="inlineStr">
        <is>
          <t>IMDb</t>
        </is>
      </c>
      <c r="W297" s="26" t="inlineStr">
        <is>
          <t>FilmAffinity</t>
        </is>
      </c>
      <c r="X297" s="26" t="inlineStr">
        <is>
          <t>Letterboxd</t>
        </is>
      </c>
    </row>
    <row r="298">
      <c r="A298" t="inlineStr">
        <is>
          <t>p0297</t>
        </is>
      </c>
      <c r="B298" t="inlineStr">
        <is>
          <t>La Purga: La Noche de las Bestias</t>
        </is>
      </c>
      <c r="C298" t="inlineStr">
        <is>
          <t>The Purge</t>
        </is>
      </c>
      <c r="D298" s="4" t="n">
        <v>2013</v>
      </c>
      <c r="E298" s="4">
        <f>IF(D298="","",FLOOR(D298,10))</f>
        <v/>
      </c>
      <c r="F298" s="22" t="n">
        <v>86</v>
      </c>
      <c r="G298" s="23" t="n">
        <v>6.6</v>
      </c>
      <c r="H298" t="inlineStr">
        <is>
          <t>James Demonaco</t>
        </is>
      </c>
      <c r="I298" t="inlineStr">
        <is>
          <t>Estados Unidos</t>
        </is>
      </c>
      <c r="J298" t="inlineStr">
        <is>
          <t>Terror, Thriller</t>
        </is>
      </c>
      <c r="K298" t="inlineStr">
        <is>
          <t>La Purga</t>
        </is>
      </c>
      <c r="M298" s="6" t="n"/>
      <c r="O298" s="24" t="inlineStr"/>
      <c r="Q298" s="25" t="n">
        <v>34058360</v>
      </c>
      <c r="R298" s="25" t="n">
        <v>64473115</v>
      </c>
      <c r="S298" s="25" t="n">
        <v>24855512</v>
      </c>
      <c r="T298" s="25">
        <f>IF(AND(R298="",S298=""),"",N(R298)+N(S298))</f>
        <v/>
      </c>
      <c r="U298" s="25" t="n"/>
      <c r="V298" s="26" t="inlineStr">
        <is>
          <t>IMDb</t>
        </is>
      </c>
      <c r="W298" s="26" t="inlineStr">
        <is>
          <t>FilmAffinity</t>
        </is>
      </c>
      <c r="X298" s="26" t="inlineStr">
        <is>
          <t>Letterboxd</t>
        </is>
      </c>
    </row>
    <row r="299">
      <c r="A299" t="inlineStr">
        <is>
          <t>p0298</t>
        </is>
      </c>
      <c r="B299" t="inlineStr">
        <is>
          <t>Vivir es fácil con los ojos cerrados</t>
        </is>
      </c>
      <c r="C299" t="inlineStr">
        <is>
          <t>Vivir es fácil con los ojos cerrados</t>
        </is>
      </c>
      <c r="D299" s="4" t="n">
        <v>2013</v>
      </c>
      <c r="E299" s="4">
        <f>IF(D299="","",FLOOR(D299,10))</f>
        <v/>
      </c>
      <c r="F299" s="22" t="n">
        <v>108</v>
      </c>
      <c r="G299" s="23" t="n">
        <v>6.4</v>
      </c>
      <c r="H299" t="inlineStr">
        <is>
          <t>David Trueba</t>
        </is>
      </c>
      <c r="I299" t="inlineStr">
        <is>
          <t>España</t>
        </is>
      </c>
      <c r="J299" t="inlineStr">
        <is>
          <t>Drama, Comedia</t>
        </is>
      </c>
      <c r="M299" s="6" t="n"/>
      <c r="O299" s="24" t="inlineStr"/>
      <c r="Q299" s="25" t="n"/>
      <c r="R299" s="25" t="n"/>
      <c r="S299" s="25" t="n"/>
      <c r="T299" s="25">
        <f>IF(AND(R299="",S299=""),"",N(R299)+N(S299))</f>
        <v/>
      </c>
      <c r="U299" s="25" t="n"/>
      <c r="V299" s="26" t="inlineStr">
        <is>
          <t>IMDb</t>
        </is>
      </c>
      <c r="W299" s="26" t="inlineStr">
        <is>
          <t>FilmAffinity</t>
        </is>
      </c>
      <c r="X299" s="26" t="inlineStr">
        <is>
          <t>Letterboxd</t>
        </is>
      </c>
    </row>
    <row r="300">
      <c r="A300" t="inlineStr">
        <is>
          <t>p0299</t>
        </is>
      </c>
      <c r="B300" t="inlineStr">
        <is>
          <t>Gru 2: Mi Villano Favorito</t>
        </is>
      </c>
      <c r="C300" t="inlineStr">
        <is>
          <t>Despicable Me 2</t>
        </is>
      </c>
      <c r="D300" s="4" t="n">
        <v>2013</v>
      </c>
      <c r="E300" s="4">
        <f>IF(D300="","",FLOOR(D300,10))</f>
        <v/>
      </c>
      <c r="F300" s="22" t="n">
        <v>98</v>
      </c>
      <c r="G300" s="23" t="n">
        <v>6.4</v>
      </c>
      <c r="H300" t="inlineStr">
        <is>
          <t>Pierre Coffin / Chris Renaud</t>
        </is>
      </c>
      <c r="I300" t="inlineStr">
        <is>
          <t>Estados Unidos</t>
        </is>
      </c>
      <c r="J300" t="inlineStr">
        <is>
          <t>Animación, Comedia, Familiar</t>
        </is>
      </c>
      <c r="K300" t="inlineStr">
        <is>
          <t>Gru</t>
        </is>
      </c>
      <c r="M300" s="6" t="n"/>
      <c r="O300" s="24" t="inlineStr"/>
      <c r="Q300" s="25" t="n"/>
      <c r="R300" s="25" t="n"/>
      <c r="S300" s="25" t="n"/>
      <c r="T300" s="25">
        <f>IF(AND(R300="",S300=""),"",N(R300)+N(S300))</f>
        <v/>
      </c>
      <c r="U300" s="25" t="n"/>
      <c r="V300" s="26" t="inlineStr">
        <is>
          <t>IMDb</t>
        </is>
      </c>
      <c r="W300" s="26" t="inlineStr">
        <is>
          <t>FilmAffinity</t>
        </is>
      </c>
      <c r="X300" s="26" t="inlineStr">
        <is>
          <t>Letterboxd</t>
        </is>
      </c>
    </row>
    <row r="301">
      <c r="A301" t="inlineStr">
        <is>
          <t>p0300</t>
        </is>
      </c>
      <c r="B301" t="inlineStr">
        <is>
          <t>El hombre de acero</t>
        </is>
      </c>
      <c r="C301" t="inlineStr">
        <is>
          <t>Man of Steel</t>
        </is>
      </c>
      <c r="D301" s="4" t="n">
        <v>2013</v>
      </c>
      <c r="E301" s="4">
        <f>IF(D301="","",FLOOR(D301,10))</f>
        <v/>
      </c>
      <c r="F301" s="22" t="n">
        <v>143</v>
      </c>
      <c r="G301" s="23" t="n">
        <v>6.4</v>
      </c>
      <c r="H301" t="inlineStr">
        <is>
          <t>Zack Snyder</t>
        </is>
      </c>
      <c r="I301" t="inlineStr">
        <is>
          <t>Estados Unidos</t>
        </is>
      </c>
      <c r="J301" t="inlineStr">
        <is>
          <t>Superhéroes, Acción</t>
        </is>
      </c>
      <c r="M301" s="6" t="n"/>
      <c r="O301" s="24" t="inlineStr"/>
      <c r="Q301" s="25" t="n"/>
      <c r="R301" s="25" t="n"/>
      <c r="S301" s="25" t="n"/>
      <c r="T301" s="25">
        <f>IF(AND(R301="",S301=""),"",N(R301)+N(S301))</f>
        <v/>
      </c>
      <c r="U301" s="25" t="n"/>
      <c r="V301" s="26" t="inlineStr">
        <is>
          <t>IMDb</t>
        </is>
      </c>
      <c r="W301" s="26" t="inlineStr">
        <is>
          <t>FilmAffinity</t>
        </is>
      </c>
      <c r="X301" s="26" t="inlineStr">
        <is>
          <t>Letterboxd</t>
        </is>
      </c>
    </row>
    <row r="302">
      <c r="A302" t="inlineStr">
        <is>
          <t>p0301</t>
        </is>
      </c>
      <c r="B302" t="inlineStr">
        <is>
          <t>La vida de Adèle</t>
        </is>
      </c>
      <c r="C302" t="inlineStr">
        <is>
          <t>Blue Is the Warmest Colour</t>
        </is>
      </c>
      <c r="D302" s="4" t="n">
        <v>2013</v>
      </c>
      <c r="E302" s="4">
        <f>IF(D302="","",FLOOR(D302,10))</f>
        <v/>
      </c>
      <c r="F302" s="22" t="n">
        <v>180</v>
      </c>
      <c r="G302" s="23" t="n">
        <v>6.3</v>
      </c>
      <c r="H302" t="inlineStr">
        <is>
          <t>Abdellatif Kechiche</t>
        </is>
      </c>
      <c r="I302" t="inlineStr">
        <is>
          <t>Francia</t>
        </is>
      </c>
      <c r="J302" t="inlineStr">
        <is>
          <t>Romance, Drama</t>
        </is>
      </c>
      <c r="M302" s="6" t="n"/>
      <c r="O302" s="24" t="inlineStr"/>
      <c r="Q302" s="25" t="n"/>
      <c r="R302" s="25" t="n"/>
      <c r="S302" s="25" t="n"/>
      <c r="T302" s="25">
        <f>IF(AND(R302="",S302=""),"",N(R302)+N(S302))</f>
        <v/>
      </c>
      <c r="U302" s="25" t="n"/>
      <c r="V302" s="26" t="inlineStr">
        <is>
          <t>IMDb</t>
        </is>
      </c>
      <c r="W302" s="26" t="inlineStr">
        <is>
          <t>FilmAffinity</t>
        </is>
      </c>
      <c r="X302" s="26" t="inlineStr">
        <is>
          <t>Letterboxd</t>
        </is>
      </c>
    </row>
    <row r="303">
      <c r="A303" t="inlineStr">
        <is>
          <t>p0302</t>
        </is>
      </c>
      <c r="B303" t="inlineStr">
        <is>
          <t>Iron Man 3</t>
        </is>
      </c>
      <c r="C303" t="inlineStr">
        <is>
          <t>Iron Man 3</t>
        </is>
      </c>
      <c r="D303" s="4" t="n">
        <v>2013</v>
      </c>
      <c r="E303" s="4">
        <f>IF(D303="","",FLOOR(D303,10))</f>
        <v/>
      </c>
      <c r="F303" s="22" t="n">
        <v>130</v>
      </c>
      <c r="G303" s="23" t="n">
        <v>6.3</v>
      </c>
      <c r="H303" t="inlineStr">
        <is>
          <t>Shane Black</t>
        </is>
      </c>
      <c r="I303" t="inlineStr">
        <is>
          <t>Estados Unidos</t>
        </is>
      </c>
      <c r="J303" t="inlineStr">
        <is>
          <t>Superhéroes, Acción</t>
        </is>
      </c>
      <c r="K303" t="inlineStr">
        <is>
          <t>UCM</t>
        </is>
      </c>
      <c r="L303" t="inlineStr">
        <is>
          <t>Fase 2 · Saga del Infinito</t>
        </is>
      </c>
      <c r="M303" s="6" t="n"/>
      <c r="O303" s="24" t="inlineStr"/>
      <c r="Q303" s="25" t="n">
        <v>174144585</v>
      </c>
      <c r="R303" s="25" t="n">
        <v>409013994</v>
      </c>
      <c r="S303" s="25" t="n">
        <v>806563211</v>
      </c>
      <c r="T303" s="25">
        <f>IF(AND(R303="",S303=""),"",N(R303)+N(S303))</f>
        <v/>
      </c>
      <c r="U303" s="25" t="n">
        <v>200000000</v>
      </c>
      <c r="V303" s="26" t="inlineStr">
        <is>
          <t>IMDb</t>
        </is>
      </c>
      <c r="W303" s="26" t="inlineStr">
        <is>
          <t>FilmAffinity</t>
        </is>
      </c>
      <c r="X303" s="26" t="inlineStr">
        <is>
          <t>Letterboxd</t>
        </is>
      </c>
    </row>
    <row r="304">
      <c r="A304" t="inlineStr">
        <is>
          <t>p0303</t>
        </is>
      </c>
      <c r="B304" t="inlineStr">
        <is>
          <t>Somos los Miller</t>
        </is>
      </c>
      <c r="C304" t="inlineStr">
        <is>
          <t>We're the Millers</t>
        </is>
      </c>
      <c r="D304" s="4" t="n">
        <v>2013</v>
      </c>
      <c r="E304" s="4">
        <f>IF(D304="","",FLOOR(D304,10))</f>
        <v/>
      </c>
      <c r="F304" s="22" t="n">
        <v>110</v>
      </c>
      <c r="G304" s="23" t="n">
        <v>6</v>
      </c>
      <c r="H304" t="inlineStr">
        <is>
          <t>Rawson Marshall Thurber</t>
        </is>
      </c>
      <c r="I304" t="inlineStr">
        <is>
          <t>Estados Unidos</t>
        </is>
      </c>
      <c r="J304" t="inlineStr">
        <is>
          <t>Comedia</t>
        </is>
      </c>
      <c r="M304" s="6" t="n"/>
      <c r="O304" s="24" t="inlineStr"/>
      <c r="Q304" s="25" t="n"/>
      <c r="R304" s="25" t="n"/>
      <c r="S304" s="25" t="n"/>
      <c r="T304" s="25">
        <f>IF(AND(R304="",S304=""),"",N(R304)+N(S304))</f>
        <v/>
      </c>
      <c r="U304" s="25" t="n"/>
      <c r="V304" s="26" t="inlineStr">
        <is>
          <t>IMDb</t>
        </is>
      </c>
      <c r="W304" s="26" t="inlineStr">
        <is>
          <t>FilmAffinity</t>
        </is>
      </c>
      <c r="X304" s="26" t="inlineStr">
        <is>
          <t>Letterboxd</t>
        </is>
      </c>
    </row>
    <row r="305">
      <c r="A305" t="inlineStr">
        <is>
          <t>p0304</t>
        </is>
      </c>
      <c r="B305" t="inlineStr">
        <is>
          <t>Insidious: Capítulo 2</t>
        </is>
      </c>
      <c r="C305" t="inlineStr">
        <is>
          <t>Insidious: Chapter 2</t>
        </is>
      </c>
      <c r="D305" s="4" t="n">
        <v>2013</v>
      </c>
      <c r="E305" s="4">
        <f>IF(D305="","",FLOOR(D305,10))</f>
        <v/>
      </c>
      <c r="F305" s="22" t="n">
        <v>105</v>
      </c>
      <c r="G305" s="23" t="n">
        <v>5.8</v>
      </c>
      <c r="H305" t="inlineStr">
        <is>
          <t>James Wan</t>
        </is>
      </c>
      <c r="I305" t="inlineStr">
        <is>
          <t>Estados Unidos</t>
        </is>
      </c>
      <c r="J305" t="inlineStr">
        <is>
          <t>Terror</t>
        </is>
      </c>
      <c r="K305" t="inlineStr">
        <is>
          <t>Insidious</t>
        </is>
      </c>
      <c r="M305" s="6" t="n"/>
      <c r="O305" s="24" t="inlineStr"/>
      <c r="Q305" s="25" t="n"/>
      <c r="R305" s="25" t="n"/>
      <c r="S305" s="25" t="n"/>
      <c r="T305" s="25">
        <f>IF(AND(R305="",S305=""),"",N(R305)+N(S305))</f>
        <v/>
      </c>
      <c r="U305" s="25" t="n"/>
      <c r="V305" s="26" t="inlineStr">
        <is>
          <t>IMDb</t>
        </is>
      </c>
      <c r="W305" s="26" t="inlineStr">
        <is>
          <t>FilmAffinity</t>
        </is>
      </c>
      <c r="X305" s="26" t="inlineStr">
        <is>
          <t>Letterboxd</t>
        </is>
      </c>
    </row>
    <row r="306">
      <c r="A306" t="inlineStr">
        <is>
          <t>p0305</t>
        </is>
      </c>
      <c r="B306" t="inlineStr">
        <is>
          <t>Dragon Ball Z: La batalla de los dioses</t>
        </is>
      </c>
      <c r="C306" t="inlineStr">
        <is>
          <t>Dragon Ball Z: Battle of Gods</t>
        </is>
      </c>
      <c r="D306" s="4" t="n">
        <v>2013</v>
      </c>
      <c r="E306" s="4">
        <f>IF(D306="","",FLOOR(D306,10))</f>
        <v/>
      </c>
      <c r="F306" s="22" t="n">
        <v>85</v>
      </c>
      <c r="G306" s="23" t="n">
        <v>5.6</v>
      </c>
      <c r="H306" t="inlineStr">
        <is>
          <t>Masahiro Hosoda</t>
        </is>
      </c>
      <c r="I306" t="inlineStr">
        <is>
          <t>Japón</t>
        </is>
      </c>
      <c r="J306" t="inlineStr">
        <is>
          <t>Animación, Acción</t>
        </is>
      </c>
      <c r="K306" t="inlineStr">
        <is>
          <t>Dragon Ball</t>
        </is>
      </c>
      <c r="M306" s="6" t="n"/>
      <c r="O306" s="24" t="inlineStr"/>
      <c r="Q306" s="25" t="n"/>
      <c r="R306" s="25" t="n"/>
      <c r="S306" s="25" t="n"/>
      <c r="T306" s="25">
        <f>IF(AND(R306="",S306=""),"",N(R306)+N(S306))</f>
        <v/>
      </c>
      <c r="U306" s="25" t="n"/>
      <c r="V306" s="26" t="inlineStr">
        <is>
          <t>IMDb</t>
        </is>
      </c>
      <c r="W306" s="26" t="inlineStr">
        <is>
          <t>FilmAffinity</t>
        </is>
      </c>
      <c r="X306" s="26" t="inlineStr">
        <is>
          <t>Letterboxd</t>
        </is>
      </c>
    </row>
    <row r="307">
      <c r="A307" t="inlineStr">
        <is>
          <t>p0306</t>
        </is>
      </c>
      <c r="B307" t="inlineStr">
        <is>
          <t>Don Jon</t>
        </is>
      </c>
      <c r="C307" t="inlineStr">
        <is>
          <t>Don Jon</t>
        </is>
      </c>
      <c r="D307" s="4" t="n">
        <v>2013</v>
      </c>
      <c r="E307" s="4">
        <f>IF(D307="","",FLOOR(D307,10))</f>
        <v/>
      </c>
      <c r="F307" s="22" t="n">
        <v>88</v>
      </c>
      <c r="G307" s="23" t="n">
        <v>5.3</v>
      </c>
      <c r="H307" t="inlineStr">
        <is>
          <t>Joseph Gordon-Levitt</t>
        </is>
      </c>
      <c r="I307" t="inlineStr">
        <is>
          <t>Estados Unidos</t>
        </is>
      </c>
      <c r="J307" t="inlineStr">
        <is>
          <t>Comedia, Romance, Drama</t>
        </is>
      </c>
      <c r="M307" s="6" t="n"/>
      <c r="O307" s="24" t="inlineStr"/>
      <c r="Q307" s="25" t="n"/>
      <c r="R307" s="25" t="n"/>
      <c r="S307" s="25" t="n"/>
      <c r="T307" s="25">
        <f>IF(AND(R307="",S307=""),"",N(R307)+N(S307))</f>
        <v/>
      </c>
      <c r="U307" s="25" t="n"/>
      <c r="V307" s="26" t="inlineStr">
        <is>
          <t>IMDb</t>
        </is>
      </c>
      <c r="W307" s="26" t="inlineStr">
        <is>
          <t>FilmAffinity</t>
        </is>
      </c>
      <c r="X307" s="26" t="inlineStr">
        <is>
          <t>Letterboxd</t>
        </is>
      </c>
    </row>
    <row r="308">
      <c r="A308" t="inlineStr">
        <is>
          <t>p0307</t>
        </is>
      </c>
      <c r="B308" t="inlineStr">
        <is>
          <t>Mama</t>
        </is>
      </c>
      <c r="C308" t="inlineStr">
        <is>
          <t>Mama</t>
        </is>
      </c>
      <c r="D308" s="4" t="n">
        <v>2013</v>
      </c>
      <c r="E308" s="4">
        <f>IF(D308="","",FLOOR(D308,10))</f>
        <v/>
      </c>
      <c r="F308" s="22" t="n">
        <v>100</v>
      </c>
      <c r="G308" s="23" t="n">
        <v>5</v>
      </c>
      <c r="H308" t="inlineStr">
        <is>
          <t>Andy Muschietti</t>
        </is>
      </c>
      <c r="I308" t="inlineStr">
        <is>
          <t>Canadá</t>
        </is>
      </c>
      <c r="J308" t="inlineStr">
        <is>
          <t>Terror</t>
        </is>
      </c>
      <c r="M308" s="6" t="n"/>
      <c r="O308" s="24" t="inlineStr"/>
      <c r="Q308" s="25" t="n"/>
      <c r="R308" s="25" t="n"/>
      <c r="S308" s="25" t="n"/>
      <c r="T308" s="25">
        <f>IF(AND(R308="",S308=""),"",N(R308)+N(S308))</f>
        <v/>
      </c>
      <c r="U308" s="25" t="n"/>
      <c r="V308" s="26" t="inlineStr">
        <is>
          <t>IMDb</t>
        </is>
      </c>
      <c r="W308" s="26" t="inlineStr">
        <is>
          <t>FilmAffinity</t>
        </is>
      </c>
      <c r="X308" s="26" t="inlineStr">
        <is>
          <t>Letterboxd</t>
        </is>
      </c>
    </row>
    <row r="309">
      <c r="A309" t="inlineStr">
        <is>
          <t>p0308</t>
        </is>
      </c>
      <c r="B309" t="inlineStr">
        <is>
          <t>Thor: El Mundo Oscuro</t>
        </is>
      </c>
      <c r="C309" t="inlineStr">
        <is>
          <t>Thor: The Dark World</t>
        </is>
      </c>
      <c r="D309" s="4" t="n">
        <v>2013</v>
      </c>
      <c r="E309" s="4">
        <f>IF(D309="","",FLOOR(D309,10))</f>
        <v/>
      </c>
      <c r="F309" s="22" t="n">
        <v>112</v>
      </c>
      <c r="G309" s="23" t="n">
        <v>4.9</v>
      </c>
      <c r="H309" t="inlineStr">
        <is>
          <t>Alan Taylor</t>
        </is>
      </c>
      <c r="I309" t="inlineStr">
        <is>
          <t>Estados Unidos</t>
        </is>
      </c>
      <c r="J309" t="inlineStr">
        <is>
          <t>Superhéroes, Fantasía</t>
        </is>
      </c>
      <c r="K309" t="inlineStr">
        <is>
          <t>UCM</t>
        </is>
      </c>
      <c r="L309" t="inlineStr">
        <is>
          <t>Fase 2 · Saga del Infinito</t>
        </is>
      </c>
      <c r="M309" s="6" t="n"/>
      <c r="O309" s="24" t="inlineStr"/>
      <c r="Q309" s="25" t="n">
        <v>85737841</v>
      </c>
      <c r="R309" s="25" t="n">
        <v>206362140</v>
      </c>
      <c r="S309" s="25" t="n">
        <v>438421000</v>
      </c>
      <c r="T309" s="25">
        <f>IF(AND(R309="",S309=""),"",N(R309)+N(S309))</f>
        <v/>
      </c>
      <c r="U309" s="25" t="n">
        <v>170000000</v>
      </c>
      <c r="V309" s="26" t="inlineStr">
        <is>
          <t>IMDb</t>
        </is>
      </c>
      <c r="W309" s="26" t="inlineStr">
        <is>
          <t>FilmAffinity</t>
        </is>
      </c>
      <c r="X309" s="26" t="inlineStr">
        <is>
          <t>Letterboxd</t>
        </is>
      </c>
    </row>
    <row r="310">
      <c r="A310" t="inlineStr">
        <is>
          <t>p0309</t>
        </is>
      </c>
      <c r="B310" t="inlineStr">
        <is>
          <t>Niños Grandes 2</t>
        </is>
      </c>
      <c r="C310" t="inlineStr">
        <is>
          <t>Grown Ups 2</t>
        </is>
      </c>
      <c r="D310" s="4" t="n">
        <v>2013</v>
      </c>
      <c r="E310" s="4">
        <f>IF(D310="","",FLOOR(D310,10))</f>
        <v/>
      </c>
      <c r="F310" s="22" t="n">
        <v>101</v>
      </c>
      <c r="G310" s="23" t="n">
        <v>4.6</v>
      </c>
      <c r="H310" t="inlineStr">
        <is>
          <t>Dennis Dugan</t>
        </is>
      </c>
      <c r="I310" t="inlineStr">
        <is>
          <t>Estados Unidos</t>
        </is>
      </c>
      <c r="J310" t="inlineStr">
        <is>
          <t>Comedia</t>
        </is>
      </c>
      <c r="K310" t="inlineStr">
        <is>
          <t>Niños grandes</t>
        </is>
      </c>
      <c r="M310" s="6" t="n"/>
      <c r="O310" s="24" t="inlineStr"/>
      <c r="Q310" s="25" t="n"/>
      <c r="R310" s="25" t="n"/>
      <c r="S310" s="25" t="n"/>
      <c r="T310" s="25">
        <f>IF(AND(R310="",S310=""),"",N(R310)+N(S310))</f>
        <v/>
      </c>
      <c r="U310" s="25" t="n"/>
      <c r="V310" s="26" t="inlineStr">
        <is>
          <t>IMDb</t>
        </is>
      </c>
      <c r="W310" s="26" t="inlineStr">
        <is>
          <t>FilmAffinity</t>
        </is>
      </c>
      <c r="X310" s="26" t="inlineStr">
        <is>
          <t>Letterboxd</t>
        </is>
      </c>
    </row>
    <row r="311">
      <c r="A311" t="inlineStr">
        <is>
          <t>p0310</t>
        </is>
      </c>
      <c r="B311" t="inlineStr">
        <is>
          <t>Guerra mundial Z</t>
        </is>
      </c>
      <c r="C311" t="inlineStr">
        <is>
          <t>World War Z</t>
        </is>
      </c>
      <c r="D311" s="4" t="n">
        <v>2013</v>
      </c>
      <c r="E311" s="4">
        <f>IF(D311="","",FLOOR(D311,10))</f>
        <v/>
      </c>
      <c r="F311" s="22" t="n">
        <v>116</v>
      </c>
      <c r="G311" s="23" t="n">
        <v>4.3</v>
      </c>
      <c r="H311" t="inlineStr">
        <is>
          <t>Marc Forster</t>
        </is>
      </c>
      <c r="I311" t="inlineStr">
        <is>
          <t>Estados Unidos</t>
        </is>
      </c>
      <c r="J311" t="inlineStr">
        <is>
          <t>Acción, Terror, Ciencia ficción</t>
        </is>
      </c>
      <c r="M311" s="6" t="n"/>
      <c r="O311" s="24" t="inlineStr"/>
      <c r="Q311" s="25" t="n"/>
      <c r="R311" s="25" t="n"/>
      <c r="S311" s="25" t="n"/>
      <c r="T311" s="25">
        <f>IF(AND(R311="",S311=""),"",N(R311)+N(S311))</f>
        <v/>
      </c>
      <c r="U311" s="25" t="n"/>
      <c r="V311" s="26" t="inlineStr">
        <is>
          <t>IMDb</t>
        </is>
      </c>
      <c r="W311" s="26" t="inlineStr">
        <is>
          <t>FilmAffinity</t>
        </is>
      </c>
      <c r="X311" s="26" t="inlineStr">
        <is>
          <t>Letterboxd</t>
        </is>
      </c>
    </row>
    <row r="312">
      <c r="A312" t="inlineStr">
        <is>
          <t>p0311</t>
        </is>
      </c>
      <c r="B312" t="inlineStr">
        <is>
          <t>3 bodas de más</t>
        </is>
      </c>
      <c r="C312" t="inlineStr">
        <is>
          <t>3 bodas de más</t>
        </is>
      </c>
      <c r="D312" s="4" t="n">
        <v>2013</v>
      </c>
      <c r="E312" s="4">
        <f>IF(D312="","",FLOOR(D312,10))</f>
        <v/>
      </c>
      <c r="F312" s="22" t="n">
        <v>94</v>
      </c>
      <c r="G312" s="23" t="n">
        <v>4.2</v>
      </c>
      <c r="H312" t="inlineStr">
        <is>
          <t>Javier Ruiz Caldera</t>
        </is>
      </c>
      <c r="I312" t="inlineStr">
        <is>
          <t>España</t>
        </is>
      </c>
      <c r="J312" t="inlineStr">
        <is>
          <t>Comedia, Romance</t>
        </is>
      </c>
      <c r="M312" s="6" t="n"/>
      <c r="O312" s="24" t="inlineStr"/>
      <c r="Q312" s="25" t="n"/>
      <c r="R312" s="25" t="n"/>
      <c r="S312" s="25" t="n"/>
      <c r="T312" s="25">
        <f>IF(AND(R312="",S312=""),"",N(R312)+N(S312))</f>
        <v/>
      </c>
      <c r="U312" s="25" t="n"/>
      <c r="V312" s="26" t="inlineStr">
        <is>
          <t>IMDb</t>
        </is>
      </c>
      <c r="W312" s="26" t="inlineStr">
        <is>
          <t>FilmAffinity</t>
        </is>
      </c>
      <c r="X312" s="26" t="inlineStr">
        <is>
          <t>Letterboxd</t>
        </is>
      </c>
    </row>
    <row r="313">
      <c r="A313" t="inlineStr">
        <is>
          <t>p0312</t>
        </is>
      </c>
      <c r="B313" t="inlineStr">
        <is>
          <t>R3sacón</t>
        </is>
      </c>
      <c r="C313" t="inlineStr">
        <is>
          <t>The Hangover Part III</t>
        </is>
      </c>
      <c r="D313" s="4" t="n">
        <v>2013</v>
      </c>
      <c r="E313" s="4">
        <f>IF(D313="","",FLOOR(D313,10))</f>
        <v/>
      </c>
      <c r="F313" s="22" t="n">
        <v>100</v>
      </c>
      <c r="G313" s="23" t="n">
        <v>4</v>
      </c>
      <c r="H313" t="inlineStr">
        <is>
          <t>Todd Phillips</t>
        </is>
      </c>
      <c r="I313" t="inlineStr">
        <is>
          <t>Estados Unidos</t>
        </is>
      </c>
      <c r="J313" t="inlineStr">
        <is>
          <t>Comedia</t>
        </is>
      </c>
      <c r="K313" t="inlineStr">
        <is>
          <t>Resacón</t>
        </is>
      </c>
      <c r="M313" s="6" t="n"/>
      <c r="O313" s="24" t="inlineStr"/>
      <c r="Q313" s="25" t="n"/>
      <c r="R313" s="25" t="n"/>
      <c r="S313" s="25" t="n"/>
      <c r="T313" s="25">
        <f>IF(AND(R313="",S313=""),"",N(R313)+N(S313))</f>
        <v/>
      </c>
      <c r="U313" s="25" t="n"/>
      <c r="V313" s="26" t="inlineStr">
        <is>
          <t>IMDb</t>
        </is>
      </c>
      <c r="W313" s="26" t="inlineStr">
        <is>
          <t>FilmAffinity</t>
        </is>
      </c>
      <c r="X313" s="26" t="inlineStr">
        <is>
          <t>Letterboxd</t>
        </is>
      </c>
    </row>
    <row r="314">
      <c r="A314" t="inlineStr">
        <is>
          <t>p0313</t>
        </is>
      </c>
      <c r="B314" t="inlineStr">
        <is>
          <t>Scary Movie 5</t>
        </is>
      </c>
      <c r="C314" t="inlineStr">
        <is>
          <t>Scary Movie 5</t>
        </is>
      </c>
      <c r="D314" s="4" t="n">
        <v>2013</v>
      </c>
      <c r="E314" s="4">
        <f>IF(D314="","",FLOOR(D314,10))</f>
        <v/>
      </c>
      <c r="F314" s="22" t="n">
        <v>87</v>
      </c>
      <c r="G314" s="23" t="n">
        <v>3</v>
      </c>
      <c r="H314" t="inlineStr">
        <is>
          <t>Malcolm D. Lee</t>
        </is>
      </c>
      <c r="I314" t="inlineStr">
        <is>
          <t>Estados Unidos</t>
        </is>
      </c>
      <c r="J314" t="inlineStr">
        <is>
          <t>Comedia, Terror</t>
        </is>
      </c>
      <c r="K314" t="inlineStr">
        <is>
          <t>Scary Movie</t>
        </is>
      </c>
      <c r="M314" s="6" t="n"/>
      <c r="O314" s="24" t="inlineStr"/>
      <c r="Q314" s="25" t="n"/>
      <c r="R314" s="25" t="n"/>
      <c r="S314" s="25" t="n"/>
      <c r="T314" s="25">
        <f>IF(AND(R314="",S314=""),"",N(R314)+N(S314))</f>
        <v/>
      </c>
      <c r="U314" s="25" t="n"/>
      <c r="V314" s="26" t="inlineStr">
        <is>
          <t>IMDb</t>
        </is>
      </c>
      <c r="W314" s="26" t="inlineStr">
        <is>
          <t>FilmAffinity</t>
        </is>
      </c>
      <c r="X314" s="26" t="inlineStr">
        <is>
          <t>Letterboxd</t>
        </is>
      </c>
    </row>
    <row r="315">
      <c r="A315" t="inlineStr">
        <is>
          <t>p0314</t>
        </is>
      </c>
      <c r="B315" t="inlineStr">
        <is>
          <t>La Caza</t>
        </is>
      </c>
      <c r="C315" t="inlineStr">
        <is>
          <t>The Hunt</t>
        </is>
      </c>
      <c r="D315" s="4" t="n">
        <v>2012</v>
      </c>
      <c r="E315" s="4">
        <f>IF(D315="","",FLOOR(D315,10))</f>
        <v/>
      </c>
      <c r="F315" s="22" t="n">
        <v>111</v>
      </c>
      <c r="G315" s="23" t="n">
        <v>8.1</v>
      </c>
      <c r="H315" t="inlineStr">
        <is>
          <t>Thomas Vinterberg</t>
        </is>
      </c>
      <c r="I315" t="inlineStr">
        <is>
          <t>Dinamarca</t>
        </is>
      </c>
      <c r="J315" t="inlineStr">
        <is>
          <t>Drama</t>
        </is>
      </c>
      <c r="M315" s="6" t="n"/>
      <c r="O315" s="24" t="inlineStr"/>
      <c r="Q315" s="25" t="n"/>
      <c r="R315" s="25" t="n"/>
      <c r="S315" s="25" t="n"/>
      <c r="T315" s="25">
        <f>IF(AND(R315="",S315=""),"",N(R315)+N(S315))</f>
        <v/>
      </c>
      <c r="U315" s="25" t="n"/>
      <c r="V315" s="26" t="inlineStr">
        <is>
          <t>IMDb</t>
        </is>
      </c>
      <c r="W315" s="26" t="inlineStr">
        <is>
          <t>FilmAffinity</t>
        </is>
      </c>
      <c r="X315" s="26" t="inlineStr">
        <is>
          <t>Letterboxd</t>
        </is>
      </c>
    </row>
    <row r="316">
      <c r="A316" t="inlineStr">
        <is>
          <t>p0315</t>
        </is>
      </c>
      <c r="B316" t="inlineStr">
        <is>
          <t>Django desencadenado</t>
        </is>
      </c>
      <c r="C316" t="inlineStr">
        <is>
          <t>Django Unchained</t>
        </is>
      </c>
      <c r="D316" s="4" t="n">
        <v>2012</v>
      </c>
      <c r="E316" s="4">
        <f>IF(D316="","",FLOOR(D316,10))</f>
        <v/>
      </c>
      <c r="F316" s="22" t="n">
        <v>165</v>
      </c>
      <c r="G316" s="23" t="n">
        <v>8</v>
      </c>
      <c r="H316" t="inlineStr">
        <is>
          <t>Quentin Tarantino</t>
        </is>
      </c>
      <c r="I316" t="inlineStr">
        <is>
          <t>Estados Unidos</t>
        </is>
      </c>
      <c r="J316" t="inlineStr">
        <is>
          <t>Western, Drama</t>
        </is>
      </c>
      <c r="M316" s="6" t="n"/>
      <c r="O316" s="24" t="inlineStr"/>
      <c r="Q316" s="25" t="n"/>
      <c r="R316" s="25" t="n"/>
      <c r="S316" s="25" t="n"/>
      <c r="T316" s="25">
        <f>IF(AND(R316="",S316=""),"",N(R316)+N(S316))</f>
        <v/>
      </c>
      <c r="U316" s="25" t="n"/>
      <c r="V316" s="26" t="inlineStr">
        <is>
          <t>IMDb</t>
        </is>
      </c>
      <c r="W316" s="26" t="inlineStr">
        <is>
          <t>FilmAffinity</t>
        </is>
      </c>
      <c r="X316" s="26" t="inlineStr">
        <is>
          <t>Letterboxd</t>
        </is>
      </c>
    </row>
    <row r="317">
      <c r="A317" t="inlineStr">
        <is>
          <t>p0316</t>
        </is>
      </c>
      <c r="B317" t="inlineStr">
        <is>
          <t>Argo</t>
        </is>
      </c>
      <c r="C317" t="inlineStr">
        <is>
          <t>Argo</t>
        </is>
      </c>
      <c r="D317" s="4" t="n">
        <v>2012</v>
      </c>
      <c r="E317" s="4">
        <f>IF(D317="","",FLOOR(D317,10))</f>
        <v/>
      </c>
      <c r="F317" s="22" t="n">
        <v>120</v>
      </c>
      <c r="G317" s="23" t="n">
        <v>7.8</v>
      </c>
      <c r="H317" t="inlineStr">
        <is>
          <t>Ben Affleck</t>
        </is>
      </c>
      <c r="I317" t="inlineStr">
        <is>
          <t>Estados Unidos</t>
        </is>
      </c>
      <c r="J317" t="inlineStr">
        <is>
          <t>Thriller, Histórico, Drama</t>
        </is>
      </c>
      <c r="M317" s="6" t="n"/>
      <c r="O317" s="24" t="inlineStr"/>
      <c r="Q317" s="25" t="n"/>
      <c r="R317" s="25" t="n"/>
      <c r="S317" s="25" t="n"/>
      <c r="T317" s="25">
        <f>IF(AND(R317="",S317=""),"",N(R317)+N(S317))</f>
        <v/>
      </c>
      <c r="U317" s="25" t="n"/>
      <c r="V317" s="26" t="inlineStr">
        <is>
          <t>IMDb</t>
        </is>
      </c>
      <c r="W317" s="26" t="inlineStr">
        <is>
          <t>FilmAffinity</t>
        </is>
      </c>
      <c r="X317" s="26" t="inlineStr">
        <is>
          <t>Letterboxd</t>
        </is>
      </c>
    </row>
    <row r="318">
      <c r="A318" t="inlineStr">
        <is>
          <t>p0317</t>
        </is>
      </c>
      <c r="B318" t="inlineStr">
        <is>
          <t>El lado bueno de las cosas</t>
        </is>
      </c>
      <c r="C318" t="inlineStr">
        <is>
          <t>Silver Linings Playbook</t>
        </is>
      </c>
      <c r="D318" s="4" t="n">
        <v>2012</v>
      </c>
      <c r="E318" s="4">
        <f>IF(D318="","",FLOOR(D318,10))</f>
        <v/>
      </c>
      <c r="F318" s="22" t="n">
        <v>120</v>
      </c>
      <c r="G318" s="23" t="n">
        <v>7.8</v>
      </c>
      <c r="H318" t="inlineStr">
        <is>
          <t>David O. Russell</t>
        </is>
      </c>
      <c r="I318" t="inlineStr">
        <is>
          <t>Estados Unidos</t>
        </is>
      </c>
      <c r="J318" t="inlineStr">
        <is>
          <t>Comedia, Romance, Drama</t>
        </is>
      </c>
      <c r="M318" s="6" t="n"/>
      <c r="O318" s="24" t="inlineStr"/>
      <c r="Q318" s="25" t="n"/>
      <c r="R318" s="25" t="n"/>
      <c r="S318" s="25" t="n"/>
      <c r="T318" s="25">
        <f>IF(AND(R318="",S318=""),"",N(R318)+N(S318))</f>
        <v/>
      </c>
      <c r="U318" s="25" t="n"/>
      <c r="V318" s="26" t="inlineStr">
        <is>
          <t>IMDb</t>
        </is>
      </c>
      <c r="W318" s="26" t="inlineStr">
        <is>
          <t>FilmAffinity</t>
        </is>
      </c>
      <c r="X318" s="26" t="inlineStr">
        <is>
          <t>Letterboxd</t>
        </is>
      </c>
    </row>
    <row r="319">
      <c r="A319" t="inlineStr">
        <is>
          <t>p0318</t>
        </is>
      </c>
      <c r="B319" t="inlineStr">
        <is>
          <t>Looper</t>
        </is>
      </c>
      <c r="C319" t="inlineStr">
        <is>
          <t>Looper</t>
        </is>
      </c>
      <c r="D319" s="4" t="n">
        <v>2012</v>
      </c>
      <c r="E319" s="4">
        <f>IF(D319="","",FLOOR(D319,10))</f>
        <v/>
      </c>
      <c r="F319" s="22" t="n">
        <v>118</v>
      </c>
      <c r="G319" s="23" t="n">
        <v>7.7</v>
      </c>
      <c r="H319" t="inlineStr">
        <is>
          <t>Rian Johnson</t>
        </is>
      </c>
      <c r="I319" t="inlineStr">
        <is>
          <t>Estados Unidos</t>
        </is>
      </c>
      <c r="J319" t="inlineStr">
        <is>
          <t>Ciencia ficción, Acción, Thriller</t>
        </is>
      </c>
      <c r="M319" s="6" t="n"/>
      <c r="O319" s="24" t="inlineStr"/>
      <c r="Q319" s="25" t="n"/>
      <c r="R319" s="25" t="n"/>
      <c r="S319" s="25" t="n"/>
      <c r="T319" s="25">
        <f>IF(AND(R319="",S319=""),"",N(R319)+N(S319))</f>
        <v/>
      </c>
      <c r="U319" s="25" t="n"/>
      <c r="V319" s="26" t="inlineStr">
        <is>
          <t>IMDb</t>
        </is>
      </c>
      <c r="W319" s="26" t="inlineStr">
        <is>
          <t>FilmAffinity</t>
        </is>
      </c>
      <c r="X319" s="26" t="inlineStr">
        <is>
          <t>Letterboxd</t>
        </is>
      </c>
    </row>
    <row r="320">
      <c r="A320" t="inlineStr">
        <is>
          <t>p0319</t>
        </is>
      </c>
      <c r="B320" t="inlineStr">
        <is>
          <t>Blancanieves</t>
        </is>
      </c>
      <c r="C320" t="inlineStr">
        <is>
          <t>Blancanieves</t>
        </is>
      </c>
      <c r="D320" s="4" t="n">
        <v>2012</v>
      </c>
      <c r="E320" s="4">
        <f>IF(D320="","",FLOOR(D320,10))</f>
        <v/>
      </c>
      <c r="F320" s="22" t="n">
        <v>104</v>
      </c>
      <c r="G320" s="23" t="n">
        <v>7.6</v>
      </c>
      <c r="H320" t="inlineStr">
        <is>
          <t>Pablo Berger</t>
        </is>
      </c>
      <c r="I320" t="inlineStr">
        <is>
          <t>España</t>
        </is>
      </c>
      <c r="J320" t="inlineStr">
        <is>
          <t>Drama, Fantasía</t>
        </is>
      </c>
      <c r="M320" s="6" t="n"/>
      <c r="O320" s="24" t="inlineStr"/>
      <c r="Q320" s="25" t="n"/>
      <c r="R320" s="25" t="n"/>
      <c r="S320" s="25" t="n"/>
      <c r="T320" s="25">
        <f>IF(AND(R320="",S320=""),"",N(R320)+N(S320))</f>
        <v/>
      </c>
      <c r="U320" s="25" t="n"/>
      <c r="V320" s="26" t="inlineStr">
        <is>
          <t>IMDb</t>
        </is>
      </c>
      <c r="W320" s="26" t="inlineStr">
        <is>
          <t>FilmAffinity</t>
        </is>
      </c>
      <c r="X320" s="26" t="inlineStr">
        <is>
          <t>Letterboxd</t>
        </is>
      </c>
    </row>
    <row r="321">
      <c r="A321" t="inlineStr">
        <is>
          <t>p0320</t>
        </is>
      </c>
      <c r="B321" t="inlineStr">
        <is>
          <t>Lo imposible</t>
        </is>
      </c>
      <c r="C321" t="inlineStr">
        <is>
          <t>Lo imposible</t>
        </is>
      </c>
      <c r="D321" s="4" t="n">
        <v>2012</v>
      </c>
      <c r="E321" s="4">
        <f>IF(D321="","",FLOOR(D321,10))</f>
        <v/>
      </c>
      <c r="F321" s="22" t="n">
        <v>107</v>
      </c>
      <c r="G321" s="23" t="n">
        <v>7.4</v>
      </c>
      <c r="H321" t="inlineStr">
        <is>
          <t>J.A. Bayona</t>
        </is>
      </c>
      <c r="I321" t="inlineStr">
        <is>
          <t>España</t>
        </is>
      </c>
      <c r="J321" t="inlineStr">
        <is>
          <t>Drama</t>
        </is>
      </c>
      <c r="M321" s="6" t="n"/>
      <c r="O321" s="24" t="inlineStr"/>
      <c r="Q321" s="25" t="n"/>
      <c r="R321" s="25" t="n"/>
      <c r="S321" s="25" t="n"/>
      <c r="T321" s="25">
        <f>IF(AND(R321="",S321=""),"",N(R321)+N(S321))</f>
        <v/>
      </c>
      <c r="U321" s="25" t="n"/>
      <c r="V321" s="26" t="inlineStr">
        <is>
          <t>IMDb</t>
        </is>
      </c>
      <c r="W321" s="26" t="inlineStr">
        <is>
          <t>FilmAffinity</t>
        </is>
      </c>
      <c r="X321" s="26" t="inlineStr">
        <is>
          <t>Letterboxd</t>
        </is>
      </c>
    </row>
    <row r="322">
      <c r="A322" t="inlineStr">
        <is>
          <t>p0321</t>
        </is>
      </c>
      <c r="B322" t="inlineStr">
        <is>
          <t>Los Vengadores</t>
        </is>
      </c>
      <c r="C322" t="inlineStr">
        <is>
          <t>The Avengers</t>
        </is>
      </c>
      <c r="D322" s="4" t="n">
        <v>2012</v>
      </c>
      <c r="E322" s="4">
        <f>IF(D322="","",FLOOR(D322,10))</f>
        <v/>
      </c>
      <c r="F322" s="22" t="n">
        <v>135</v>
      </c>
      <c r="G322" s="23" t="n">
        <v>7.2</v>
      </c>
      <c r="H322" t="inlineStr">
        <is>
          <t>Joss Whedon</t>
        </is>
      </c>
      <c r="I322" t="inlineStr">
        <is>
          <t>Estados Unidos</t>
        </is>
      </c>
      <c r="J322" t="inlineStr">
        <is>
          <t>Superhéroes, Acción</t>
        </is>
      </c>
      <c r="K322" t="inlineStr">
        <is>
          <t>UCM</t>
        </is>
      </c>
      <c r="L322" t="inlineStr">
        <is>
          <t>Fase 1 · Saga del Infinito</t>
        </is>
      </c>
      <c r="M322" s="6" t="n"/>
      <c r="O322" s="24" t="inlineStr"/>
      <c r="Q322" s="25" t="n">
        <v>207438708</v>
      </c>
      <c r="R322" s="25" t="n">
        <v>623357910</v>
      </c>
      <c r="S322" s="25" t="n">
        <v>897180626</v>
      </c>
      <c r="T322" s="25">
        <f>IF(AND(R322="",S322=""),"",N(R322)+N(S322))</f>
        <v/>
      </c>
      <c r="U322" s="25" t="n">
        <v>220000000</v>
      </c>
      <c r="V322" s="26" t="inlineStr">
        <is>
          <t>IMDb</t>
        </is>
      </c>
      <c r="W322" s="26" t="inlineStr">
        <is>
          <t>FilmAffinity</t>
        </is>
      </c>
      <c r="X322" s="26" t="inlineStr">
        <is>
          <t>Letterboxd</t>
        </is>
      </c>
    </row>
    <row r="323">
      <c r="A323" t="inlineStr">
        <is>
          <t>p0322</t>
        </is>
      </c>
      <c r="B323" t="inlineStr">
        <is>
          <t>Rompe Ralph</t>
        </is>
      </c>
      <c r="C323" t="inlineStr">
        <is>
          <t>Wreck-It Ralph</t>
        </is>
      </c>
      <c r="D323" s="4" t="n">
        <v>2012</v>
      </c>
      <c r="E323" s="4">
        <f>IF(D323="","",FLOOR(D323,10))</f>
        <v/>
      </c>
      <c r="F323" s="22" t="n">
        <v>101</v>
      </c>
      <c r="G323" s="23" t="n">
        <v>7.1</v>
      </c>
      <c r="H323" t="inlineStr">
        <is>
          <t>Rich Moore</t>
        </is>
      </c>
      <c r="I323" t="inlineStr">
        <is>
          <t>Estados Unidos</t>
        </is>
      </c>
      <c r="J323" t="inlineStr">
        <is>
          <t>Animación, Comedia, Familiar</t>
        </is>
      </c>
      <c r="M323" s="6" t="n"/>
      <c r="O323" s="24" t="inlineStr"/>
      <c r="Q323" s="25" t="n"/>
      <c r="R323" s="25" t="n"/>
      <c r="S323" s="25" t="n"/>
      <c r="T323" s="25">
        <f>IF(AND(R323="",S323=""),"",N(R323)+N(S323))</f>
        <v/>
      </c>
      <c r="U323" s="25" t="n"/>
      <c r="V323" s="26" t="inlineStr">
        <is>
          <t>IMDb</t>
        </is>
      </c>
      <c r="W323" s="26" t="inlineStr">
        <is>
          <t>FilmAffinity</t>
        </is>
      </c>
      <c r="X323" s="26" t="inlineStr">
        <is>
          <t>Letterboxd</t>
        </is>
      </c>
    </row>
    <row r="324">
      <c r="A324" t="inlineStr">
        <is>
          <t>p0323</t>
        </is>
      </c>
      <c r="B324" t="inlineStr">
        <is>
          <t>Project X</t>
        </is>
      </c>
      <c r="C324" t="inlineStr">
        <is>
          <t>Project X</t>
        </is>
      </c>
      <c r="D324" s="4" t="n">
        <v>2012</v>
      </c>
      <c r="E324" s="4">
        <f>IF(D324="","",FLOOR(D324,10))</f>
        <v/>
      </c>
      <c r="F324" s="22" t="n">
        <v>88</v>
      </c>
      <c r="G324" s="23" t="n">
        <v>6.8</v>
      </c>
      <c r="H324" t="inlineStr">
        <is>
          <t>Nima Nourizadeh</t>
        </is>
      </c>
      <c r="I324" t="inlineStr">
        <is>
          <t>Estados Unidos</t>
        </is>
      </c>
      <c r="J324" t="inlineStr">
        <is>
          <t>Comedia</t>
        </is>
      </c>
      <c r="M324" s="6" t="n"/>
      <c r="O324" s="24" t="inlineStr"/>
      <c r="Q324" s="25" t="n"/>
      <c r="R324" s="25" t="n"/>
      <c r="S324" s="25" t="n"/>
      <c r="T324" s="25">
        <f>IF(AND(R324="",S324=""),"",N(R324)+N(S324))</f>
        <v/>
      </c>
      <c r="U324" s="25" t="n"/>
      <c r="V324" s="26" t="inlineStr">
        <is>
          <t>IMDb</t>
        </is>
      </c>
      <c r="W324" s="26" t="inlineStr">
        <is>
          <t>FilmAffinity</t>
        </is>
      </c>
      <c r="X324" s="26" t="inlineStr">
        <is>
          <t>Letterboxd</t>
        </is>
      </c>
    </row>
    <row r="325">
      <c r="A325" t="inlineStr">
        <is>
          <t>p0324</t>
        </is>
      </c>
      <c r="B325" t="inlineStr">
        <is>
          <t>El dictador</t>
        </is>
      </c>
      <c r="C325" t="inlineStr">
        <is>
          <t>The Dictator</t>
        </is>
      </c>
      <c r="D325" s="4" t="n">
        <v>2012</v>
      </c>
      <c r="E325" s="4">
        <f>IF(D325="","",FLOOR(D325,10))</f>
        <v/>
      </c>
      <c r="F325" s="22" t="n">
        <v>83</v>
      </c>
      <c r="G325" s="23" t="n">
        <v>6.6</v>
      </c>
      <c r="H325" t="inlineStr">
        <is>
          <t>Larry Charles</t>
        </is>
      </c>
      <c r="I325" t="inlineStr">
        <is>
          <t>Estados Unidos</t>
        </is>
      </c>
      <c r="J325" t="inlineStr">
        <is>
          <t>Comedia</t>
        </is>
      </c>
      <c r="M325" s="6" t="n"/>
      <c r="O325" s="24" t="inlineStr"/>
      <c r="Q325" s="25" t="n"/>
      <c r="R325" s="25" t="n"/>
      <c r="S325" s="25" t="n"/>
      <c r="T325" s="25">
        <f>IF(AND(R325="",S325=""),"",N(R325)+N(S325))</f>
        <v/>
      </c>
      <c r="U325" s="25" t="n"/>
      <c r="V325" s="26" t="inlineStr">
        <is>
          <t>IMDb</t>
        </is>
      </c>
      <c r="W325" s="26" t="inlineStr">
        <is>
          <t>FilmAffinity</t>
        </is>
      </c>
      <c r="X325" s="26" t="inlineStr">
        <is>
          <t>Letterboxd</t>
        </is>
      </c>
    </row>
    <row r="326">
      <c r="A326" t="inlineStr">
        <is>
          <t>p0325</t>
        </is>
      </c>
      <c r="B326" t="inlineStr">
        <is>
          <t>El Invitado</t>
        </is>
      </c>
      <c r="C326" t="inlineStr">
        <is>
          <t>Safe House</t>
        </is>
      </c>
      <c r="D326" s="4" t="n">
        <v>2012</v>
      </c>
      <c r="E326" s="4">
        <f>IF(D326="","",FLOOR(D326,10))</f>
        <v/>
      </c>
      <c r="F326" s="22" t="n">
        <v>115</v>
      </c>
      <c r="G326" s="23" t="n">
        <v>6.1</v>
      </c>
      <c r="H326" t="inlineStr">
        <is>
          <t>Daniel Espinosa</t>
        </is>
      </c>
      <c r="I326" t="inlineStr">
        <is>
          <t>Estados Unidos</t>
        </is>
      </c>
      <c r="J326" t="inlineStr">
        <is>
          <t>Acción, Thriller</t>
        </is>
      </c>
      <c r="M326" s="6" t="n"/>
      <c r="O326" s="24" t="inlineStr"/>
      <c r="Q326" s="25" t="n"/>
      <c r="R326" s="25" t="n"/>
      <c r="S326" s="25" t="n"/>
      <c r="T326" s="25">
        <f>IF(AND(R326="",S326=""),"",N(R326)+N(S326))</f>
        <v/>
      </c>
      <c r="U326" s="25" t="n"/>
      <c r="V326" s="26" t="inlineStr">
        <is>
          <t>IMDb</t>
        </is>
      </c>
      <c r="W326" s="26" t="inlineStr">
        <is>
          <t>FilmAffinity</t>
        </is>
      </c>
      <c r="X326" s="26" t="inlineStr">
        <is>
          <t>Letterboxd</t>
        </is>
      </c>
    </row>
    <row r="327">
      <c r="A327" t="inlineStr">
        <is>
          <t>p0326</t>
        </is>
      </c>
      <c r="B327" t="inlineStr">
        <is>
          <t>Hotel Transilvania</t>
        </is>
      </c>
      <c r="C327" t="inlineStr">
        <is>
          <t>Hotel Transylvania</t>
        </is>
      </c>
      <c r="D327" s="4" t="n">
        <v>2012</v>
      </c>
      <c r="E327" s="4">
        <f>IF(D327="","",FLOOR(D327,10))</f>
        <v/>
      </c>
      <c r="F327" s="22" t="n">
        <v>91</v>
      </c>
      <c r="G327" s="23" t="n">
        <v>6</v>
      </c>
      <c r="H327" t="inlineStr">
        <is>
          <t>Genndy Tartakovsky</t>
        </is>
      </c>
      <c r="I327" t="inlineStr">
        <is>
          <t>Estados Unidos</t>
        </is>
      </c>
      <c r="J327" t="inlineStr">
        <is>
          <t>Animación, Comedia, Familiar</t>
        </is>
      </c>
      <c r="M327" s="6" t="n"/>
      <c r="O327" s="24" t="inlineStr"/>
      <c r="Q327" s="25" t="n"/>
      <c r="R327" s="25" t="n"/>
      <c r="S327" s="25" t="n"/>
      <c r="T327" s="25">
        <f>IF(AND(R327="",S327=""),"",N(R327)+N(S327))</f>
        <v/>
      </c>
      <c r="U327" s="25" t="n"/>
      <c r="V327" s="26" t="inlineStr">
        <is>
          <t>IMDb</t>
        </is>
      </c>
      <c r="W327" s="26" t="inlineStr">
        <is>
          <t>FilmAffinity</t>
        </is>
      </c>
      <c r="X327" s="26" t="inlineStr">
        <is>
          <t>Letterboxd</t>
        </is>
      </c>
    </row>
    <row r="328">
      <c r="A328" t="inlineStr">
        <is>
          <t>p0327</t>
        </is>
      </c>
      <c r="B328" t="inlineStr">
        <is>
          <t>Ice Age 4: La Formación de los Continentes</t>
        </is>
      </c>
      <c r="C328" t="inlineStr">
        <is>
          <t>Ice Age: Continental Drift</t>
        </is>
      </c>
      <c r="D328" s="4" t="n">
        <v>2012</v>
      </c>
      <c r="E328" s="4">
        <f>IF(D328="","",FLOOR(D328,10))</f>
        <v/>
      </c>
      <c r="F328" s="22" t="n">
        <v>94</v>
      </c>
      <c r="G328" s="23" t="n">
        <v>6</v>
      </c>
      <c r="H328" t="inlineStr">
        <is>
          <t>Steve Martino / Mike Thurmeier</t>
        </is>
      </c>
      <c r="I328" t="inlineStr">
        <is>
          <t>Estados Unidos</t>
        </is>
      </c>
      <c r="J328" t="inlineStr">
        <is>
          <t>Animación, Comedia, Familiar</t>
        </is>
      </c>
      <c r="K328" t="inlineStr">
        <is>
          <t>Ice Age</t>
        </is>
      </c>
      <c r="M328" s="6" t="n"/>
      <c r="O328" s="24" t="inlineStr"/>
      <c r="Q328" s="25" t="n"/>
      <c r="R328" s="25" t="n"/>
      <c r="S328" s="25" t="n"/>
      <c r="T328" s="25">
        <f>IF(AND(R328="",S328=""),"",N(R328)+N(S328))</f>
        <v/>
      </c>
      <c r="U328" s="25" t="n"/>
      <c r="V328" s="26" t="inlineStr">
        <is>
          <t>IMDb</t>
        </is>
      </c>
      <c r="W328" s="26" t="inlineStr">
        <is>
          <t>FilmAffinity</t>
        </is>
      </c>
      <c r="X328" s="26" t="inlineStr">
        <is>
          <t>Letterboxd</t>
        </is>
      </c>
    </row>
    <row r="329">
      <c r="A329" t="inlineStr">
        <is>
          <t>p0328</t>
        </is>
      </c>
      <c r="B329" t="inlineStr">
        <is>
          <t>The Amazing Spider-Man</t>
        </is>
      </c>
      <c r="C329" t="inlineStr">
        <is>
          <t>The Amazing Spider-Man</t>
        </is>
      </c>
      <c r="D329" s="4" t="n">
        <v>2012</v>
      </c>
      <c r="E329" s="4">
        <f>IF(D329="","",FLOOR(D329,10))</f>
        <v/>
      </c>
      <c r="F329" s="22" t="n">
        <v>136</v>
      </c>
      <c r="G329" s="23" t="n">
        <v>5.9</v>
      </c>
      <c r="H329" t="inlineStr">
        <is>
          <t>Marc Webb</t>
        </is>
      </c>
      <c r="I329" t="inlineStr">
        <is>
          <t>Estados Unidos</t>
        </is>
      </c>
      <c r="J329" t="inlineStr">
        <is>
          <t>Superhéroes, Acción</t>
        </is>
      </c>
      <c r="K329" t="inlineStr">
        <is>
          <t>Spider-Man</t>
        </is>
      </c>
      <c r="M329" s="6" t="n"/>
      <c r="O329" s="24" t="inlineStr"/>
      <c r="Q329" s="25" t="n"/>
      <c r="R329" s="25" t="n"/>
      <c r="S329" s="25" t="n"/>
      <c r="T329" s="25">
        <f>IF(AND(R329="",S329=""),"",N(R329)+N(S329))</f>
        <v/>
      </c>
      <c r="U329" s="25" t="n"/>
      <c r="V329" s="26" t="inlineStr">
        <is>
          <t>IMDb</t>
        </is>
      </c>
      <c r="W329" s="26" t="inlineStr">
        <is>
          <t>FilmAffinity</t>
        </is>
      </c>
      <c r="X329" s="26" t="inlineStr">
        <is>
          <t>Letterboxd</t>
        </is>
      </c>
    </row>
    <row r="330">
      <c r="A330" t="inlineStr">
        <is>
          <t>p0329</t>
        </is>
      </c>
      <c r="B330" t="inlineStr">
        <is>
          <t>Las aventuras de Tadeo Jones</t>
        </is>
      </c>
      <c r="C330" t="inlineStr">
        <is>
          <t>Las aventuras de Tadeo Jones</t>
        </is>
      </c>
      <c r="D330" s="4" t="n">
        <v>2012</v>
      </c>
      <c r="E330" s="4">
        <f>IF(D330="","",FLOOR(D330,10))</f>
        <v/>
      </c>
      <c r="F330" s="22" t="n">
        <v>90</v>
      </c>
      <c r="G330" s="23" t="n">
        <v>5.8</v>
      </c>
      <c r="H330" t="inlineStr">
        <is>
          <t>Enrique Gato</t>
        </is>
      </c>
      <c r="I330" t="inlineStr">
        <is>
          <t>España</t>
        </is>
      </c>
      <c r="J330" t="inlineStr">
        <is>
          <t>Animación, Aventura, Comedia</t>
        </is>
      </c>
      <c r="M330" s="6" t="n"/>
      <c r="O330" s="24" t="inlineStr"/>
      <c r="Q330" s="25" t="n"/>
      <c r="R330" s="25" t="n"/>
      <c r="S330" s="25" t="n"/>
      <c r="T330" s="25">
        <f>IF(AND(R330="",S330=""),"",N(R330)+N(S330))</f>
        <v/>
      </c>
      <c r="U330" s="25" t="n"/>
      <c r="V330" s="26" t="inlineStr">
        <is>
          <t>IMDb</t>
        </is>
      </c>
      <c r="W330" s="26" t="inlineStr">
        <is>
          <t>FilmAffinity</t>
        </is>
      </c>
      <c r="X330" s="26" t="inlineStr">
        <is>
          <t>Letterboxd</t>
        </is>
      </c>
    </row>
    <row r="331">
      <c r="A331" t="inlineStr">
        <is>
          <t>p0330</t>
        </is>
      </c>
      <c r="B331" t="inlineStr">
        <is>
          <t>REC 3: Génesis</t>
        </is>
      </c>
      <c r="C331" t="inlineStr">
        <is>
          <t>REC 3: Génesis</t>
        </is>
      </c>
      <c r="D331" s="4" t="n">
        <v>2012</v>
      </c>
      <c r="E331" s="4">
        <f>IF(D331="","",FLOOR(D331,10))</f>
        <v/>
      </c>
      <c r="F331" s="22" t="n">
        <v>81</v>
      </c>
      <c r="G331" s="23" t="n">
        <v>5.4</v>
      </c>
      <c r="H331" t="inlineStr">
        <is>
          <t>Paco Plaza</t>
        </is>
      </c>
      <c r="I331" t="inlineStr">
        <is>
          <t>España</t>
        </is>
      </c>
      <c r="J331" t="inlineStr">
        <is>
          <t>Terror, Comedia</t>
        </is>
      </c>
      <c r="K331" t="inlineStr">
        <is>
          <t>REC</t>
        </is>
      </c>
      <c r="M331" s="6" t="n"/>
      <c r="O331" s="24" t="inlineStr"/>
      <c r="Q331" s="25" t="n"/>
      <c r="R331" s="25" t="n"/>
      <c r="S331" s="25" t="n"/>
      <c r="T331" s="25">
        <f>IF(AND(R331="",S331=""),"",N(R331)+N(S331))</f>
        <v/>
      </c>
      <c r="U331" s="25" t="n"/>
      <c r="V331" s="26" t="inlineStr">
        <is>
          <t>IMDb</t>
        </is>
      </c>
      <c r="W331" s="26" t="inlineStr">
        <is>
          <t>FilmAffinity</t>
        </is>
      </c>
      <c r="X331" s="26" t="inlineStr">
        <is>
          <t>Letterboxd</t>
        </is>
      </c>
    </row>
    <row r="332">
      <c r="A332" t="inlineStr">
        <is>
          <t>p0331</t>
        </is>
      </c>
      <c r="B332" t="inlineStr">
        <is>
          <t>Prometheus</t>
        </is>
      </c>
      <c r="C332" t="inlineStr">
        <is>
          <t>Prometheus</t>
        </is>
      </c>
      <c r="D332" s="4" t="n">
        <v>2012</v>
      </c>
      <c r="E332" s="4">
        <f>IF(D332="","",FLOOR(D332,10))</f>
        <v/>
      </c>
      <c r="F332" s="22" t="n">
        <v>123</v>
      </c>
      <c r="G332" s="23" t="n">
        <v>5.3</v>
      </c>
      <c r="H332" t="inlineStr">
        <is>
          <t>Ridley Scott</t>
        </is>
      </c>
      <c r="I332" t="inlineStr">
        <is>
          <t>Estados Unidos</t>
        </is>
      </c>
      <c r="J332" t="inlineStr">
        <is>
          <t>Ciencia ficción, Terror</t>
        </is>
      </c>
      <c r="M332" s="6" t="n"/>
      <c r="O332" s="24" t="inlineStr"/>
      <c r="Q332" s="25" t="n"/>
      <c r="R332" s="25" t="n"/>
      <c r="S332" s="25" t="n"/>
      <c r="T332" s="25">
        <f>IF(AND(R332="",S332=""),"",N(R332)+N(S332))</f>
        <v/>
      </c>
      <c r="U332" s="25" t="n"/>
      <c r="V332" s="26" t="inlineStr">
        <is>
          <t>IMDb</t>
        </is>
      </c>
      <c r="W332" s="26" t="inlineStr">
        <is>
          <t>FilmAffinity</t>
        </is>
      </c>
      <c r="X332" s="26" t="inlineStr">
        <is>
          <t>Letterboxd</t>
        </is>
      </c>
    </row>
    <row r="333">
      <c r="A333" t="inlineStr">
        <is>
          <t>p0332</t>
        </is>
      </c>
      <c r="B333" t="inlineStr">
        <is>
          <t>Sinister</t>
        </is>
      </c>
      <c r="C333" t="inlineStr">
        <is>
          <t>Sinister</t>
        </is>
      </c>
      <c r="D333" s="4" t="n">
        <v>2012</v>
      </c>
      <c r="E333" s="4">
        <f>IF(D333="","",FLOOR(D333,10))</f>
        <v/>
      </c>
      <c r="F333" s="22" t="n">
        <v>110</v>
      </c>
      <c r="G333" s="23" t="n">
        <v>5.2</v>
      </c>
      <c r="H333" t="inlineStr">
        <is>
          <t>Scott Derrickson</t>
        </is>
      </c>
      <c r="I333" t="inlineStr">
        <is>
          <t>Estados Unidos</t>
        </is>
      </c>
      <c r="J333" t="inlineStr">
        <is>
          <t>Terror</t>
        </is>
      </c>
      <c r="M333" s="6" t="n"/>
      <c r="O333" s="24" t="inlineStr"/>
      <c r="Q333" s="25" t="n"/>
      <c r="R333" s="25" t="n"/>
      <c r="S333" s="25" t="n"/>
      <c r="T333" s="25">
        <f>IF(AND(R333="",S333=""),"",N(R333)+N(S333))</f>
        <v/>
      </c>
      <c r="U333" s="25" t="n"/>
      <c r="V333" s="26" t="inlineStr">
        <is>
          <t>IMDb</t>
        </is>
      </c>
      <c r="W333" s="26" t="inlineStr">
        <is>
          <t>FilmAffinity</t>
        </is>
      </c>
      <c r="X333" s="26" t="inlineStr">
        <is>
          <t>Letterboxd</t>
        </is>
      </c>
    </row>
    <row r="334">
      <c r="A334" t="inlineStr">
        <is>
          <t>p0333</t>
        </is>
      </c>
      <c r="B334" t="inlineStr">
        <is>
          <t>Ted</t>
        </is>
      </c>
      <c r="C334" t="inlineStr">
        <is>
          <t>Ted</t>
        </is>
      </c>
      <c r="D334" s="4" t="n">
        <v>2012</v>
      </c>
      <c r="E334" s="4">
        <f>IF(D334="","",FLOOR(D334,10))</f>
        <v/>
      </c>
      <c r="F334" s="22" t="n">
        <v>106</v>
      </c>
      <c r="G334" s="23" t="n">
        <v>5.1</v>
      </c>
      <c r="H334" t="inlineStr">
        <is>
          <t>Seth MacFarlane</t>
        </is>
      </c>
      <c r="I334" t="inlineStr">
        <is>
          <t>Estados Unidos</t>
        </is>
      </c>
      <c r="J334" t="inlineStr">
        <is>
          <t>Comedia</t>
        </is>
      </c>
      <c r="M334" s="6" t="n"/>
      <c r="O334" s="24" t="inlineStr"/>
      <c r="Q334" s="25" t="n"/>
      <c r="R334" s="25" t="n"/>
      <c r="S334" s="25" t="n"/>
      <c r="T334" s="25">
        <f>IF(AND(R334="",S334=""),"",N(R334)+N(S334))</f>
        <v/>
      </c>
      <c r="U334" s="25" t="n"/>
      <c r="V334" s="26" t="inlineStr">
        <is>
          <t>IMDb</t>
        </is>
      </c>
      <c r="W334" s="26" t="inlineStr">
        <is>
          <t>FilmAffinity</t>
        </is>
      </c>
      <c r="X334" s="26" t="inlineStr">
        <is>
          <t>Letterboxd</t>
        </is>
      </c>
    </row>
    <row r="335">
      <c r="A335" t="inlineStr">
        <is>
          <t>p0334</t>
        </is>
      </c>
      <c r="B335" t="inlineStr">
        <is>
          <t>Promoción fantasma</t>
        </is>
      </c>
      <c r="C335" t="inlineStr">
        <is>
          <t>Promoción fantasma</t>
        </is>
      </c>
      <c r="D335" s="4" t="n">
        <v>2012</v>
      </c>
      <c r="E335" s="4">
        <f>IF(D335="","",FLOOR(D335,10))</f>
        <v/>
      </c>
      <c r="F335" s="22" t="n">
        <v>88</v>
      </c>
      <c r="G335" s="23" t="n">
        <v>4.9</v>
      </c>
      <c r="H335" t="inlineStr">
        <is>
          <t>Javier Ruiz Caldera</t>
        </is>
      </c>
      <c r="I335" t="inlineStr">
        <is>
          <t>España</t>
        </is>
      </c>
      <c r="J335" t="inlineStr">
        <is>
          <t>Comedia, Fantasía</t>
        </is>
      </c>
      <c r="M335" s="6" t="n"/>
      <c r="O335" s="24" t="inlineStr"/>
      <c r="Q335" s="25" t="n"/>
      <c r="R335" s="25" t="n"/>
      <c r="S335" s="25" t="n"/>
      <c r="T335" s="25">
        <f>IF(AND(R335="",S335=""),"",N(R335)+N(S335))</f>
        <v/>
      </c>
      <c r="U335" s="25" t="n"/>
      <c r="V335" s="26" t="inlineStr">
        <is>
          <t>IMDb</t>
        </is>
      </c>
      <c r="W335" s="26" t="inlineStr">
        <is>
          <t>FilmAffinity</t>
        </is>
      </c>
      <c r="X335" s="26" t="inlineStr">
        <is>
          <t>Letterboxd</t>
        </is>
      </c>
    </row>
    <row r="336">
      <c r="A336" t="inlineStr">
        <is>
          <t>p0335</t>
        </is>
      </c>
      <c r="B336" t="inlineStr">
        <is>
          <t>Intocable</t>
        </is>
      </c>
      <c r="C336" t="inlineStr">
        <is>
          <t>The Intouchables</t>
        </is>
      </c>
      <c r="D336" s="4" t="n">
        <v>2011</v>
      </c>
      <c r="E336" s="4">
        <f>IF(D336="","",FLOOR(D336,10))</f>
        <v/>
      </c>
      <c r="F336" s="22" t="n">
        <v>109</v>
      </c>
      <c r="G336" s="23" t="n">
        <v>8.199999999999999</v>
      </c>
      <c r="H336" t="inlineStr">
        <is>
          <t>Olivier Nakache / Eric Toledano</t>
        </is>
      </c>
      <c r="I336" t="inlineStr">
        <is>
          <t>Francia</t>
        </is>
      </c>
      <c r="J336" t="inlineStr">
        <is>
          <t>Comedia, Drama</t>
        </is>
      </c>
      <c r="M336" s="6" t="n"/>
      <c r="O336" s="24" t="inlineStr"/>
      <c r="Q336" s="25" t="n"/>
      <c r="R336" s="25" t="n"/>
      <c r="S336" s="25" t="n"/>
      <c r="T336" s="25">
        <f>IF(AND(R336="",S336=""),"",N(R336)+N(S336))</f>
        <v/>
      </c>
      <c r="U336" s="25" t="n"/>
      <c r="V336" s="26" t="inlineStr">
        <is>
          <t>IMDb</t>
        </is>
      </c>
      <c r="W336" s="26" t="inlineStr">
        <is>
          <t>FilmAffinity</t>
        </is>
      </c>
      <c r="X336" s="26" t="inlineStr">
        <is>
          <t>Letterboxd</t>
        </is>
      </c>
    </row>
    <row r="337">
      <c r="A337" t="inlineStr">
        <is>
          <t>p0336</t>
        </is>
      </c>
      <c r="B337" t="inlineStr">
        <is>
          <t>Drive</t>
        </is>
      </c>
      <c r="C337" t="inlineStr">
        <is>
          <t>Drive</t>
        </is>
      </c>
      <c r="D337" s="4" t="n">
        <v>2011</v>
      </c>
      <c r="E337" s="4">
        <f>IF(D337="","",FLOOR(D337,10))</f>
        <v/>
      </c>
      <c r="F337" s="22" t="n">
        <v>100</v>
      </c>
      <c r="G337" s="23" t="n">
        <v>8</v>
      </c>
      <c r="H337" t="inlineStr">
        <is>
          <t>Nicolas Winding Refn</t>
        </is>
      </c>
      <c r="I337" t="inlineStr">
        <is>
          <t>Estados Unidos</t>
        </is>
      </c>
      <c r="J337" t="inlineStr">
        <is>
          <t>Crimen, Drama, Thriller</t>
        </is>
      </c>
      <c r="M337" s="6" t="n"/>
      <c r="O337" s="24" t="inlineStr"/>
      <c r="Q337" s="25" t="n"/>
      <c r="R337" s="25" t="n"/>
      <c r="S337" s="25" t="n"/>
      <c r="T337" s="25">
        <f>IF(AND(R337="",S337=""),"",N(R337)+N(S337))</f>
        <v/>
      </c>
      <c r="U337" s="25" t="n"/>
      <c r="V337" s="26" t="inlineStr">
        <is>
          <t>IMDb</t>
        </is>
      </c>
      <c r="W337" s="26" t="inlineStr">
        <is>
          <t>FilmAffinity</t>
        </is>
      </c>
      <c r="X337" s="26" t="inlineStr">
        <is>
          <t>Letterboxd</t>
        </is>
      </c>
    </row>
    <row r="338">
      <c r="A338" t="inlineStr">
        <is>
          <t>p0337</t>
        </is>
      </c>
      <c r="B338" t="inlineStr">
        <is>
          <t>La piel que habito</t>
        </is>
      </c>
      <c r="C338" t="inlineStr">
        <is>
          <t>La piel que habito</t>
        </is>
      </c>
      <c r="D338" s="4" t="n">
        <v>2011</v>
      </c>
      <c r="E338" s="4">
        <f>IF(D338="","",FLOOR(D338,10))</f>
        <v/>
      </c>
      <c r="F338" s="22" t="n">
        <v>117</v>
      </c>
      <c r="G338" s="23" t="n">
        <v>7.2</v>
      </c>
      <c r="H338" t="inlineStr">
        <is>
          <t>Pedro Almodóvar</t>
        </is>
      </c>
      <c r="I338" t="inlineStr">
        <is>
          <t>España</t>
        </is>
      </c>
      <c r="J338" t="inlineStr">
        <is>
          <t>Thriller, Drama</t>
        </is>
      </c>
      <c r="M338" s="6" t="n"/>
      <c r="O338" s="24" t="inlineStr"/>
      <c r="Q338" s="25" t="n"/>
      <c r="R338" s="25" t="n"/>
      <c r="S338" s="25" t="n"/>
      <c r="T338" s="25">
        <f>IF(AND(R338="",S338=""),"",N(R338)+N(S338))</f>
        <v/>
      </c>
      <c r="U338" s="25" t="n"/>
      <c r="V338" s="26" t="inlineStr">
        <is>
          <t>IMDb</t>
        </is>
      </c>
      <c r="W338" s="26" t="inlineStr">
        <is>
          <t>FilmAffinity</t>
        </is>
      </c>
      <c r="X338" s="26" t="inlineStr">
        <is>
          <t>Letterboxd</t>
        </is>
      </c>
    </row>
    <row r="339">
      <c r="A339" t="inlineStr">
        <is>
          <t>p0338</t>
        </is>
      </c>
      <c r="B339" t="inlineStr">
        <is>
          <t>Primos</t>
        </is>
      </c>
      <c r="C339" t="inlineStr">
        <is>
          <t>Primos</t>
        </is>
      </c>
      <c r="D339" s="4" t="n">
        <v>2011</v>
      </c>
      <c r="E339" s="4">
        <f>IF(D339="","",FLOOR(D339,10))</f>
        <v/>
      </c>
      <c r="F339" s="22" t="n">
        <v>97</v>
      </c>
      <c r="G339" s="23" t="n">
        <v>6.8</v>
      </c>
      <c r="H339" t="inlineStr">
        <is>
          <t>Daniel Sánchez Arévalo</t>
        </is>
      </c>
      <c r="I339" t="inlineStr">
        <is>
          <t>España</t>
        </is>
      </c>
      <c r="J339" t="inlineStr">
        <is>
          <t>Comedia</t>
        </is>
      </c>
      <c r="M339" s="6" t="n"/>
      <c r="O339" s="24" t="inlineStr"/>
      <c r="Q339" s="25" t="n"/>
      <c r="R339" s="25" t="n"/>
      <c r="S339" s="25" t="n"/>
      <c r="T339" s="25">
        <f>IF(AND(R339="",S339=""),"",N(R339)+N(S339))</f>
        <v/>
      </c>
      <c r="U339" s="25" t="n"/>
      <c r="V339" s="26" t="inlineStr">
        <is>
          <t>IMDb</t>
        </is>
      </c>
      <c r="W339" s="26" t="inlineStr">
        <is>
          <t>FilmAffinity</t>
        </is>
      </c>
      <c r="X339" s="26" t="inlineStr">
        <is>
          <t>Letterboxd</t>
        </is>
      </c>
    </row>
    <row r="340">
      <c r="A340" t="inlineStr">
        <is>
          <t>p0339</t>
        </is>
      </c>
      <c r="B340" t="inlineStr">
        <is>
          <t>Mientras duermes</t>
        </is>
      </c>
      <c r="C340" t="inlineStr">
        <is>
          <t>Mientras duermes</t>
        </is>
      </c>
      <c r="D340" s="4" t="n">
        <v>2011</v>
      </c>
      <c r="E340" s="4">
        <f>IF(D340="","",FLOOR(D340,10))</f>
        <v/>
      </c>
      <c r="F340" s="22" t="n">
        <v>107</v>
      </c>
      <c r="G340" s="23" t="n">
        <v>6.8</v>
      </c>
      <c r="H340" t="inlineStr">
        <is>
          <t>Jaume Balagueró</t>
        </is>
      </c>
      <c r="I340" t="inlineStr">
        <is>
          <t>España</t>
        </is>
      </c>
      <c r="J340" t="inlineStr">
        <is>
          <t>Thriller, Terror</t>
        </is>
      </c>
      <c r="M340" s="6" t="n"/>
      <c r="O340" s="24" t="inlineStr"/>
      <c r="Q340" s="25" t="n"/>
      <c r="R340" s="25" t="n"/>
      <c r="S340" s="25" t="n"/>
      <c r="T340" s="25">
        <f>IF(AND(R340="",S340=""),"",N(R340)+N(S340))</f>
        <v/>
      </c>
      <c r="U340" s="25" t="n"/>
      <c r="V340" s="26" t="inlineStr">
        <is>
          <t>IMDb</t>
        </is>
      </c>
      <c r="W340" s="26" t="inlineStr">
        <is>
          <t>FilmAffinity</t>
        </is>
      </c>
      <c r="X340" s="26" t="inlineStr">
        <is>
          <t>Letterboxd</t>
        </is>
      </c>
    </row>
    <row r="341">
      <c r="A341" t="inlineStr">
        <is>
          <t>p0340</t>
        </is>
      </c>
      <c r="B341" t="inlineStr">
        <is>
          <t>Las Aventuras de Tintín: El Secreto del Unicornio</t>
        </is>
      </c>
      <c r="C341" t="inlineStr">
        <is>
          <t>The Adventures of Tintin</t>
        </is>
      </c>
      <c r="D341" s="4" t="n">
        <v>2011</v>
      </c>
      <c r="E341" s="4">
        <f>IF(D341="","",FLOOR(D341,10))</f>
        <v/>
      </c>
      <c r="F341" s="22" t="n">
        <v>107</v>
      </c>
      <c r="G341" s="23" t="n">
        <v>6.8</v>
      </c>
      <c r="H341" t="inlineStr">
        <is>
          <t>Steven Spielberg</t>
        </is>
      </c>
      <c r="I341" t="inlineStr">
        <is>
          <t>Estados Unidos</t>
        </is>
      </c>
      <c r="J341" t="inlineStr">
        <is>
          <t>Animación, Aventura</t>
        </is>
      </c>
      <c r="M341" s="6" t="n"/>
      <c r="O341" s="24" t="inlineStr"/>
      <c r="Q341" s="25" t="n"/>
      <c r="R341" s="25" t="n"/>
      <c r="S341" s="25" t="n"/>
      <c r="T341" s="25">
        <f>IF(AND(R341="",S341=""),"",N(R341)+N(S341))</f>
        <v/>
      </c>
      <c r="U341" s="25" t="n"/>
      <c r="V341" s="26" t="inlineStr">
        <is>
          <t>IMDb</t>
        </is>
      </c>
      <c r="W341" s="26" t="inlineStr">
        <is>
          <t>FilmAffinity</t>
        </is>
      </c>
      <c r="X341" s="26" t="inlineStr">
        <is>
          <t>Letterboxd</t>
        </is>
      </c>
    </row>
    <row r="342">
      <c r="A342" t="inlineStr">
        <is>
          <t>p0341</t>
        </is>
      </c>
      <c r="B342" t="inlineStr">
        <is>
          <t>El Inocente</t>
        </is>
      </c>
      <c r="C342" t="inlineStr">
        <is>
          <t>The Lincoln Lawyer</t>
        </is>
      </c>
      <c r="D342" s="4" t="n">
        <v>2011</v>
      </c>
      <c r="E342" s="4">
        <f>IF(D342="","",FLOOR(D342,10))</f>
        <v/>
      </c>
      <c r="F342" s="22" t="n">
        <v>119</v>
      </c>
      <c r="G342" s="23" t="n">
        <v>6.5</v>
      </c>
      <c r="H342" t="inlineStr">
        <is>
          <t>Brad Furman</t>
        </is>
      </c>
      <c r="I342" t="inlineStr">
        <is>
          <t>Estados Unidos</t>
        </is>
      </c>
      <c r="J342" t="inlineStr">
        <is>
          <t>Thriller, Crimen</t>
        </is>
      </c>
      <c r="M342" s="6" t="n"/>
      <c r="O342" s="24" t="inlineStr"/>
      <c r="Q342" s="25" t="n"/>
      <c r="R342" s="25" t="n"/>
      <c r="S342" s="25" t="n"/>
      <c r="T342" s="25">
        <f>IF(AND(R342="",S342=""),"",N(R342)+N(S342))</f>
        <v/>
      </c>
      <c r="U342" s="25" t="n"/>
      <c r="V342" s="26" t="inlineStr">
        <is>
          <t>IMDb</t>
        </is>
      </c>
      <c r="W342" s="26" t="inlineStr">
        <is>
          <t>FilmAffinity</t>
        </is>
      </c>
      <c r="X342" s="26" t="inlineStr">
        <is>
          <t>Letterboxd</t>
        </is>
      </c>
    </row>
    <row r="343">
      <c r="A343" t="inlineStr">
        <is>
          <t>p0342</t>
        </is>
      </c>
      <c r="B343" t="inlineStr">
        <is>
          <t>Rango</t>
        </is>
      </c>
      <c r="C343" t="inlineStr">
        <is>
          <t>Rango</t>
        </is>
      </c>
      <c r="D343" s="4" t="n">
        <v>2011</v>
      </c>
      <c r="E343" s="4">
        <f>IF(D343="","",FLOOR(D343,10))</f>
        <v/>
      </c>
      <c r="F343" s="22" t="n">
        <v>111</v>
      </c>
      <c r="G343" s="23" t="n">
        <v>6.3</v>
      </c>
      <c r="H343" t="inlineStr">
        <is>
          <t>Gore Verbinski</t>
        </is>
      </c>
      <c r="I343" t="inlineStr">
        <is>
          <t>Estados Unidos</t>
        </is>
      </c>
      <c r="J343" t="inlineStr">
        <is>
          <t>Animación, Western, Comedia</t>
        </is>
      </c>
      <c r="M343" s="6" t="n"/>
      <c r="O343" s="24" t="inlineStr"/>
      <c r="Q343" s="25" t="n"/>
      <c r="R343" s="25" t="n"/>
      <c r="S343" s="25" t="n"/>
      <c r="T343" s="25">
        <f>IF(AND(R343="",S343=""),"",N(R343)+N(S343))</f>
        <v/>
      </c>
      <c r="U343" s="25" t="n"/>
      <c r="V343" s="26" t="inlineStr">
        <is>
          <t>IMDb</t>
        </is>
      </c>
    </row>
    <row r="344">
      <c r="A344" t="inlineStr">
        <is>
          <t>p0343</t>
        </is>
      </c>
      <c r="B344" t="inlineStr">
        <is>
          <t>Capitán América: El primer vengador</t>
        </is>
      </c>
      <c r="C344" t="inlineStr">
        <is>
          <t>Captain America: The First Avenger</t>
        </is>
      </c>
      <c r="D344" s="4" t="n">
        <v>2011</v>
      </c>
      <c r="E344" s="4">
        <f>IF(D344="","",FLOOR(D344,10))</f>
        <v/>
      </c>
      <c r="F344" s="22" t="n">
        <v>125</v>
      </c>
      <c r="G344" s="23" t="n">
        <v>6.3</v>
      </c>
      <c r="H344" t="inlineStr">
        <is>
          <t>Joe Johnston</t>
        </is>
      </c>
      <c r="I344" t="inlineStr">
        <is>
          <t>Estados Unidos</t>
        </is>
      </c>
      <c r="J344" t="inlineStr">
        <is>
          <t>Superhéroes, Acción</t>
        </is>
      </c>
      <c r="K344" t="inlineStr">
        <is>
          <t>UCM</t>
        </is>
      </c>
      <c r="L344" t="inlineStr">
        <is>
          <t>Fase 1 · Saga del Infinito</t>
        </is>
      </c>
      <c r="M344" s="6" t="n"/>
      <c r="O344" s="24" t="inlineStr"/>
      <c r="Q344" s="25" t="n">
        <v>65058524</v>
      </c>
      <c r="R344" s="25" t="n">
        <v>176654505</v>
      </c>
      <c r="S344" s="25" t="n">
        <v>193915269</v>
      </c>
      <c r="T344" s="25">
        <f>IF(AND(R344="",S344=""),"",N(R344)+N(S344))</f>
        <v/>
      </c>
      <c r="U344" s="25" t="n">
        <v>140000000</v>
      </c>
      <c r="V344" s="26" t="inlineStr">
        <is>
          <t>IMDb</t>
        </is>
      </c>
      <c r="W344" s="26" t="inlineStr">
        <is>
          <t>FilmAffinity</t>
        </is>
      </c>
      <c r="X344" s="26" t="inlineStr">
        <is>
          <t>Letterboxd</t>
        </is>
      </c>
    </row>
    <row r="345">
      <c r="A345" t="inlineStr">
        <is>
          <t>p0344</t>
        </is>
      </c>
      <c r="B345" t="inlineStr">
        <is>
          <t>Resacón 2: Ahora en Tailandia</t>
        </is>
      </c>
      <c r="C345" t="inlineStr">
        <is>
          <t>The Hangover Part II</t>
        </is>
      </c>
      <c r="D345" s="4" t="n">
        <v>2011</v>
      </c>
      <c r="E345" s="4">
        <f>IF(D345="","",FLOOR(D345,10))</f>
        <v/>
      </c>
      <c r="F345" s="22" t="n">
        <v>102</v>
      </c>
      <c r="G345" s="23" t="n">
        <v>6</v>
      </c>
      <c r="H345" t="inlineStr">
        <is>
          <t>Todd Phillips</t>
        </is>
      </c>
      <c r="I345" t="inlineStr">
        <is>
          <t>Estados Unidos</t>
        </is>
      </c>
      <c r="J345" t="inlineStr">
        <is>
          <t>Comedia</t>
        </is>
      </c>
      <c r="K345" t="inlineStr">
        <is>
          <t>Resacón</t>
        </is>
      </c>
      <c r="M345" s="6" t="n"/>
      <c r="O345" s="24" t="inlineStr"/>
      <c r="Q345" s="25" t="n"/>
      <c r="R345" s="25" t="n"/>
      <c r="S345" s="25" t="n"/>
      <c r="T345" s="25">
        <f>IF(AND(R345="",S345=""),"",N(R345)+N(S345))</f>
        <v/>
      </c>
      <c r="U345" s="25" t="n"/>
      <c r="V345" s="26" t="inlineStr">
        <is>
          <t>IMDb</t>
        </is>
      </c>
      <c r="W345" s="26" t="inlineStr">
        <is>
          <t>FilmAffinity</t>
        </is>
      </c>
      <c r="X345" s="26" t="inlineStr">
        <is>
          <t>Letterboxd</t>
        </is>
      </c>
    </row>
    <row r="346">
      <c r="A346" t="inlineStr">
        <is>
          <t>p0345</t>
        </is>
      </c>
      <c r="B346" t="inlineStr">
        <is>
          <t>No habrá paz para los malvados</t>
        </is>
      </c>
      <c r="C346" t="inlineStr">
        <is>
          <t>No habrá paz para los malvados</t>
        </is>
      </c>
      <c r="D346" s="4" t="n">
        <v>2011</v>
      </c>
      <c r="E346" s="4">
        <f>IF(D346="","",FLOOR(D346,10))</f>
        <v/>
      </c>
      <c r="F346" s="22" t="n">
        <v>104</v>
      </c>
      <c r="G346" s="23" t="n">
        <v>5.9</v>
      </c>
      <c r="H346" t="inlineStr">
        <is>
          <t>Enrique Urbizu</t>
        </is>
      </c>
      <c r="I346" t="inlineStr">
        <is>
          <t>España</t>
        </is>
      </c>
      <c r="J346" t="inlineStr">
        <is>
          <t>Thriller, Crimen</t>
        </is>
      </c>
      <c r="M346" s="6" t="n"/>
      <c r="O346" s="24" t="inlineStr"/>
      <c r="Q346" s="25" t="n"/>
      <c r="R346" s="25" t="n"/>
      <c r="S346" s="25" t="n"/>
      <c r="T346" s="25">
        <f>IF(AND(R346="",S346=""),"",N(R346)+N(S346))</f>
        <v/>
      </c>
      <c r="U346" s="25" t="n"/>
      <c r="V346" s="26" t="inlineStr">
        <is>
          <t>IMDb</t>
        </is>
      </c>
      <c r="W346" s="26" t="inlineStr">
        <is>
          <t>FilmAffinity</t>
        </is>
      </c>
      <c r="X346" s="26" t="inlineStr">
        <is>
          <t>Letterboxd</t>
        </is>
      </c>
    </row>
    <row r="347">
      <c r="A347" t="inlineStr">
        <is>
          <t>p0346</t>
        </is>
      </c>
      <c r="B347" t="inlineStr">
        <is>
          <t>Cars 2</t>
        </is>
      </c>
      <c r="C347" t="inlineStr">
        <is>
          <t>Cars 2</t>
        </is>
      </c>
      <c r="D347" s="4" t="n">
        <v>2011</v>
      </c>
      <c r="E347" s="4">
        <f>IF(D347="","",FLOOR(D347,10))</f>
        <v/>
      </c>
      <c r="F347" s="22" t="n">
        <v>113</v>
      </c>
      <c r="G347" s="23" t="n">
        <v>5.6</v>
      </c>
      <c r="H347" t="inlineStr">
        <is>
          <t>John Lasseter / Brad Lewis</t>
        </is>
      </c>
      <c r="I347" t="inlineStr">
        <is>
          <t>Estados Unidos</t>
        </is>
      </c>
      <c r="J347" t="inlineStr">
        <is>
          <t>Animación, Comedia, Familiar</t>
        </is>
      </c>
      <c r="K347" t="inlineStr">
        <is>
          <t>Cars</t>
        </is>
      </c>
      <c r="M347" s="6" t="n"/>
      <c r="O347" s="24" t="inlineStr"/>
      <c r="Q347" s="25" t="n"/>
      <c r="R347" s="25" t="n"/>
      <c r="S347" s="25" t="n"/>
      <c r="T347" s="25">
        <f>IF(AND(R347="",S347=""),"",N(R347)+N(S347))</f>
        <v/>
      </c>
      <c r="U347" s="25" t="n"/>
      <c r="V347" s="26" t="inlineStr">
        <is>
          <t>IMDb</t>
        </is>
      </c>
      <c r="W347" s="26" t="inlineStr">
        <is>
          <t>FilmAffinity</t>
        </is>
      </c>
      <c r="X347" s="26" t="inlineStr">
        <is>
          <t>Letterboxd</t>
        </is>
      </c>
    </row>
    <row r="348">
      <c r="A348" t="inlineStr">
        <is>
          <t>p0347</t>
        </is>
      </c>
      <c r="B348" t="inlineStr">
        <is>
          <t>Sígueme el Rollo</t>
        </is>
      </c>
      <c r="C348" t="inlineStr">
        <is>
          <t>Just Go with It</t>
        </is>
      </c>
      <c r="D348" s="4" t="n">
        <v>2011</v>
      </c>
      <c r="E348" s="4">
        <f>IF(D348="","",FLOOR(D348,10))</f>
        <v/>
      </c>
      <c r="F348" s="22" t="n">
        <v>116</v>
      </c>
      <c r="G348" s="23" t="n">
        <v>5.4</v>
      </c>
      <c r="H348" t="inlineStr">
        <is>
          <t>Dennis Dugan</t>
        </is>
      </c>
      <c r="I348" t="inlineStr">
        <is>
          <t>Estados Unidos</t>
        </is>
      </c>
      <c r="J348" t="inlineStr">
        <is>
          <t>Comedia, Romance</t>
        </is>
      </c>
      <c r="M348" s="6" t="n"/>
      <c r="O348" s="24" t="inlineStr"/>
      <c r="Q348" s="25" t="n"/>
      <c r="R348" s="25" t="n"/>
      <c r="S348" s="25" t="n"/>
      <c r="T348" s="25">
        <f>IF(AND(R348="",S348=""),"",N(R348)+N(S348))</f>
        <v/>
      </c>
      <c r="U348" s="25" t="n"/>
      <c r="V348" s="26" t="inlineStr">
        <is>
          <t>IMDb</t>
        </is>
      </c>
      <c r="W348" s="26" t="inlineStr">
        <is>
          <t>FilmAffinity</t>
        </is>
      </c>
      <c r="X348" s="26" t="inlineStr">
        <is>
          <t>Letterboxd</t>
        </is>
      </c>
    </row>
    <row r="349">
      <c r="A349" t="inlineStr">
        <is>
          <t>p0348</t>
        </is>
      </c>
      <c r="B349" t="inlineStr">
        <is>
          <t>Con Derecho a Roce</t>
        </is>
      </c>
      <c r="C349" t="inlineStr">
        <is>
          <t>Friends with Benefits</t>
        </is>
      </c>
      <c r="D349" s="4" t="n">
        <v>2011</v>
      </c>
      <c r="E349" s="4">
        <f>IF(D349="","",FLOOR(D349,10))</f>
        <v/>
      </c>
      <c r="F349" s="22" t="n">
        <v>109</v>
      </c>
      <c r="G349" s="23" t="n">
        <v>5.2</v>
      </c>
      <c r="H349" t="inlineStr">
        <is>
          <t>Will Gluck</t>
        </is>
      </c>
      <c r="I349" t="inlineStr">
        <is>
          <t>Estados Unidos</t>
        </is>
      </c>
      <c r="J349" t="inlineStr">
        <is>
          <t>Comedia, Romance</t>
        </is>
      </c>
      <c r="M349" s="6" t="n"/>
      <c r="O349" s="24" t="inlineStr"/>
      <c r="Q349" s="25" t="n"/>
      <c r="R349" s="25" t="n"/>
      <c r="S349" s="25" t="n"/>
      <c r="T349" s="25">
        <f>IF(AND(R349="",S349=""),"",N(R349)+N(S349))</f>
        <v/>
      </c>
      <c r="U349" s="25" t="n"/>
      <c r="V349" s="26" t="inlineStr">
        <is>
          <t>IMDb</t>
        </is>
      </c>
      <c r="W349" s="26" t="inlineStr">
        <is>
          <t>FilmAffinity</t>
        </is>
      </c>
      <c r="X349" s="26" t="inlineStr">
        <is>
          <t>Letterboxd</t>
        </is>
      </c>
    </row>
    <row r="350">
      <c r="A350" t="inlineStr">
        <is>
          <t>p0349</t>
        </is>
      </c>
      <c r="B350" t="inlineStr">
        <is>
          <t>Crepúsculo: Amanecer Parte 1</t>
        </is>
      </c>
      <c r="C350" t="inlineStr">
        <is>
          <t>The Twilight Saga: Breaking Dawn – Part 1</t>
        </is>
      </c>
      <c r="D350" s="4" t="n">
        <v>2011</v>
      </c>
      <c r="E350" s="4">
        <f>IF(D350="","",FLOOR(D350,10))</f>
        <v/>
      </c>
      <c r="F350" s="22" t="n">
        <v>117</v>
      </c>
      <c r="G350" s="23" t="n">
        <v>5.1</v>
      </c>
      <c r="H350" t="inlineStr">
        <is>
          <t>Bill Condon</t>
        </is>
      </c>
      <c r="I350" t="inlineStr">
        <is>
          <t>Estados Unidos</t>
        </is>
      </c>
      <c r="J350" t="inlineStr">
        <is>
          <t>Romance, Fantasía</t>
        </is>
      </c>
      <c r="K350" t="inlineStr">
        <is>
          <t>Crepúsculo</t>
        </is>
      </c>
      <c r="M350" s="6" t="n"/>
      <c r="O350" s="24" t="inlineStr"/>
      <c r="Q350" s="25" t="n"/>
      <c r="R350" s="25" t="n"/>
      <c r="S350" s="25" t="n"/>
      <c r="T350" s="25">
        <f>IF(AND(R350="",S350=""),"",N(R350)+N(S350))</f>
        <v/>
      </c>
      <c r="U350" s="25" t="n"/>
      <c r="V350" s="26" t="inlineStr">
        <is>
          <t>IMDb</t>
        </is>
      </c>
      <c r="W350" s="26" t="inlineStr">
        <is>
          <t>FilmAffinity</t>
        </is>
      </c>
      <c r="X350" s="26" t="inlineStr">
        <is>
          <t>Letterboxd</t>
        </is>
      </c>
    </row>
    <row r="351">
      <c r="A351" t="inlineStr">
        <is>
          <t>p0350</t>
        </is>
      </c>
      <c r="B351" t="inlineStr">
        <is>
          <t>El Cambiazo</t>
        </is>
      </c>
      <c r="C351" t="inlineStr">
        <is>
          <t>The Change-Up</t>
        </is>
      </c>
      <c r="D351" s="4" t="n">
        <v>2011</v>
      </c>
      <c r="E351" s="4">
        <f>IF(D351="","",FLOOR(D351,10))</f>
        <v/>
      </c>
      <c r="F351" s="22" t="n">
        <v>112</v>
      </c>
      <c r="G351" s="23" t="n">
        <v>5</v>
      </c>
      <c r="H351" t="inlineStr">
        <is>
          <t>David Dobkin</t>
        </is>
      </c>
      <c r="I351" t="inlineStr">
        <is>
          <t>Estados Unidos</t>
        </is>
      </c>
      <c r="J351" t="inlineStr">
        <is>
          <t>Comedia</t>
        </is>
      </c>
      <c r="M351" s="6" t="n"/>
      <c r="O351" s="24" t="inlineStr"/>
      <c r="Q351" s="25" t="n"/>
      <c r="R351" s="25" t="n"/>
      <c r="S351" s="25" t="n"/>
      <c r="T351" s="25">
        <f>IF(AND(R351="",S351=""),"",N(R351)+N(S351))</f>
        <v/>
      </c>
      <c r="U351" s="25" t="n"/>
      <c r="V351" s="26" t="inlineStr">
        <is>
          <t>IMDb</t>
        </is>
      </c>
      <c r="W351" s="26" t="inlineStr">
        <is>
          <t>FilmAffinity</t>
        </is>
      </c>
      <c r="X351" s="26" t="inlineStr">
        <is>
          <t>Letterboxd</t>
        </is>
      </c>
    </row>
    <row r="352">
      <c r="A352" t="inlineStr">
        <is>
          <t>p0351</t>
        </is>
      </c>
      <c r="B352" t="inlineStr">
        <is>
          <t>Los Pingüinos del Sr. Popper</t>
        </is>
      </c>
      <c r="C352" t="inlineStr">
        <is>
          <t>Mr. Popper's Penguins</t>
        </is>
      </c>
      <c r="D352" s="4" t="n">
        <v>2011</v>
      </c>
      <c r="E352" s="4">
        <f>IF(D352="","",FLOOR(D352,10))</f>
        <v/>
      </c>
      <c r="F352" s="22" t="n">
        <v>97</v>
      </c>
      <c r="G352" s="23" t="n">
        <v>4.8</v>
      </c>
      <c r="H352" t="inlineStr">
        <is>
          <t>Mark Waters</t>
        </is>
      </c>
      <c r="I352" t="inlineStr">
        <is>
          <t>Estados Unidos</t>
        </is>
      </c>
      <c r="J352" t="inlineStr">
        <is>
          <t>Comedia, Familiar</t>
        </is>
      </c>
      <c r="M352" s="6" t="n"/>
      <c r="O352" s="24" t="inlineStr"/>
      <c r="Q352" s="25" t="n"/>
      <c r="R352" s="25" t="n"/>
      <c r="S352" s="25" t="n"/>
      <c r="T352" s="25">
        <f>IF(AND(R352="",S352=""),"",N(R352)+N(S352))</f>
        <v/>
      </c>
      <c r="U352" s="25" t="n"/>
      <c r="V352" s="26" t="inlineStr">
        <is>
          <t>IMDb</t>
        </is>
      </c>
      <c r="W352" s="26" t="inlineStr">
        <is>
          <t>FilmAffinity</t>
        </is>
      </c>
      <c r="X352" s="26" t="inlineStr">
        <is>
          <t>Letterboxd</t>
        </is>
      </c>
    </row>
    <row r="353">
      <c r="A353" t="inlineStr">
        <is>
          <t>p0352</t>
        </is>
      </c>
      <c r="B353" t="inlineStr">
        <is>
          <t>Torrente 4: Lethal Crisis</t>
        </is>
      </c>
      <c r="C353" t="inlineStr">
        <is>
          <t>Torrente 4: Lethal Crisis</t>
        </is>
      </c>
      <c r="D353" s="4" t="n">
        <v>2011</v>
      </c>
      <c r="E353" s="4">
        <f>IF(D353="","",FLOOR(D353,10))</f>
        <v/>
      </c>
      <c r="F353" s="22" t="n">
        <v>93</v>
      </c>
      <c r="G353" s="23" t="n">
        <v>4.8</v>
      </c>
      <c r="H353" t="inlineStr">
        <is>
          <t>Santiago Segura</t>
        </is>
      </c>
      <c r="I353" t="inlineStr">
        <is>
          <t>España</t>
        </is>
      </c>
      <c r="J353" t="inlineStr">
        <is>
          <t>Comedia, Acción</t>
        </is>
      </c>
      <c r="K353" t="inlineStr">
        <is>
          <t>Torrente</t>
        </is>
      </c>
      <c r="M353" s="6" t="n"/>
      <c r="O353" s="24" t="inlineStr"/>
      <c r="Q353" s="25" t="n"/>
      <c r="R353" s="25" t="n"/>
      <c r="S353" s="25" t="n"/>
      <c r="T353" s="25">
        <f>IF(AND(R353="",S353=""),"",N(R353)+N(S353))</f>
        <v/>
      </c>
      <c r="U353" s="25" t="n"/>
      <c r="V353" s="26" t="inlineStr">
        <is>
          <t>IMDb</t>
        </is>
      </c>
      <c r="W353" s="26" t="inlineStr">
        <is>
          <t>FilmAffinity</t>
        </is>
      </c>
      <c r="X353" s="26" t="inlineStr">
        <is>
          <t>Letterboxd</t>
        </is>
      </c>
    </row>
    <row r="354">
      <c r="A354" t="inlineStr">
        <is>
          <t>p0353</t>
        </is>
      </c>
      <c r="B354" t="inlineStr">
        <is>
          <t>Thor</t>
        </is>
      </c>
      <c r="C354" t="inlineStr">
        <is>
          <t>Thor</t>
        </is>
      </c>
      <c r="D354" s="4" t="n">
        <v>2011</v>
      </c>
      <c r="E354" s="4">
        <f>IF(D354="","",FLOOR(D354,10))</f>
        <v/>
      </c>
      <c r="F354" s="22" t="n">
        <v>110</v>
      </c>
      <c r="G354" s="23" t="n">
        <v>4.7</v>
      </c>
      <c r="H354" t="inlineStr">
        <is>
          <t>Kenneth Branagh</t>
        </is>
      </c>
      <c r="I354" t="inlineStr">
        <is>
          <t>Estados Unidos</t>
        </is>
      </c>
      <c r="J354" t="inlineStr">
        <is>
          <t>Superhéroes, Fantasía</t>
        </is>
      </c>
      <c r="K354" t="inlineStr">
        <is>
          <t>UCM</t>
        </is>
      </c>
      <c r="L354" t="inlineStr">
        <is>
          <t>Fase 1 · Saga del Infinito</t>
        </is>
      </c>
      <c r="M354" s="6" t="n"/>
      <c r="O354" s="24" t="inlineStr"/>
      <c r="Q354" s="25" t="n">
        <v>65723338</v>
      </c>
      <c r="R354" s="25" t="n">
        <v>181030624</v>
      </c>
      <c r="S354" s="25" t="n">
        <v>268295994</v>
      </c>
      <c r="T354" s="25">
        <f>IF(AND(R354="",S354=""),"",N(R354)+N(S354))</f>
        <v/>
      </c>
      <c r="U354" s="25" t="n">
        <v>150000000</v>
      </c>
      <c r="V354" s="26" t="inlineStr">
        <is>
          <t>IMDb</t>
        </is>
      </c>
      <c r="W354" s="26" t="inlineStr">
        <is>
          <t>FilmAffinity</t>
        </is>
      </c>
      <c r="X354" s="26" t="inlineStr">
        <is>
          <t>Letterboxd</t>
        </is>
      </c>
    </row>
    <row r="355">
      <c r="A355" t="inlineStr">
        <is>
          <t>p0354</t>
        </is>
      </c>
      <c r="B355" t="inlineStr">
        <is>
          <t>Origen</t>
        </is>
      </c>
      <c r="C355" t="inlineStr">
        <is>
          <t>Inception</t>
        </is>
      </c>
      <c r="D355" s="4" t="n">
        <v>2010</v>
      </c>
      <c r="E355" s="4">
        <f>IF(D355="","",FLOOR(D355,10))</f>
        <v/>
      </c>
      <c r="F355" s="22" t="n">
        <v>148</v>
      </c>
      <c r="G355" s="23" t="n">
        <v>10</v>
      </c>
      <c r="H355" t="inlineStr">
        <is>
          <t>Christopher Nolan</t>
        </is>
      </c>
      <c r="I355" t="inlineStr">
        <is>
          <t>Estados Unidos</t>
        </is>
      </c>
      <c r="J355" t="inlineStr">
        <is>
          <t>Ciencia ficción, Acción, Thriller</t>
        </is>
      </c>
      <c r="M355" s="6" t="n"/>
      <c r="O355" s="24" t="inlineStr"/>
      <c r="Q355" s="25" t="n"/>
      <c r="R355" s="25" t="n"/>
      <c r="S355" s="25" t="n"/>
      <c r="T355" s="25">
        <f>IF(AND(R355="",S355=""),"",N(R355)+N(S355))</f>
        <v/>
      </c>
      <c r="U355" s="25" t="n"/>
      <c r="V355" s="26" t="inlineStr">
        <is>
          <t>IMDb</t>
        </is>
      </c>
      <c r="W355" s="26" t="inlineStr">
        <is>
          <t>FilmAffinity</t>
        </is>
      </c>
      <c r="X355" s="26" t="inlineStr">
        <is>
          <t>Letterboxd</t>
        </is>
      </c>
    </row>
    <row r="356">
      <c r="A356" t="inlineStr">
        <is>
          <t>p0355</t>
        </is>
      </c>
      <c r="B356" t="inlineStr">
        <is>
          <t>Shutter Island</t>
        </is>
      </c>
      <c r="C356" t="inlineStr">
        <is>
          <t>Shutter Island</t>
        </is>
      </c>
      <c r="D356" s="4" t="n">
        <v>2010</v>
      </c>
      <c r="E356" s="4">
        <f>IF(D356="","",FLOOR(D356,10))</f>
        <v/>
      </c>
      <c r="F356" s="22" t="n">
        <v>138</v>
      </c>
      <c r="G356" s="23" t="n">
        <v>8.9</v>
      </c>
      <c r="H356" t="inlineStr">
        <is>
          <t>Martin Scorsese</t>
        </is>
      </c>
      <c r="I356" t="inlineStr">
        <is>
          <t>Estados Unidos</t>
        </is>
      </c>
      <c r="J356" t="inlineStr">
        <is>
          <t>Thriller, Misterio</t>
        </is>
      </c>
      <c r="M356" s="6" t="n"/>
      <c r="O356" s="24" t="inlineStr"/>
      <c r="Q356" s="25" t="n"/>
      <c r="R356" s="25" t="n"/>
      <c r="S356" s="25" t="n"/>
      <c r="T356" s="25">
        <f>IF(AND(R356="",S356=""),"",N(R356)+N(S356))</f>
        <v/>
      </c>
      <c r="U356" s="25" t="n"/>
      <c r="V356" s="26" t="inlineStr">
        <is>
          <t>IMDb</t>
        </is>
      </c>
      <c r="W356" s="26" t="inlineStr">
        <is>
          <t>FilmAffinity</t>
        </is>
      </c>
      <c r="X356" s="26" t="inlineStr">
        <is>
          <t>Letterboxd</t>
        </is>
      </c>
    </row>
    <row r="357">
      <c r="A357" t="inlineStr">
        <is>
          <t>p0356</t>
        </is>
      </c>
      <c r="B357" t="inlineStr">
        <is>
          <t>La Red Social</t>
        </is>
      </c>
      <c r="C357" t="inlineStr">
        <is>
          <t>The Social Network</t>
        </is>
      </c>
      <c r="D357" s="4" t="n">
        <v>2010</v>
      </c>
      <c r="E357" s="4">
        <f>IF(D357="","",FLOOR(D357,10))</f>
        <v/>
      </c>
      <c r="F357" s="22" t="n">
        <v>120</v>
      </c>
      <c r="G357" s="23" t="n">
        <v>7.9</v>
      </c>
      <c r="H357" t="inlineStr">
        <is>
          <t>David Fincher</t>
        </is>
      </c>
      <c r="I357" t="inlineStr">
        <is>
          <t>Estados Unidos</t>
        </is>
      </c>
      <c r="J357" t="inlineStr">
        <is>
          <t>Drama, Biográfico</t>
        </is>
      </c>
      <c r="M357" s="6" t="n"/>
      <c r="O357" s="24" t="inlineStr"/>
      <c r="Q357" s="25" t="n"/>
      <c r="R357" s="25" t="n"/>
      <c r="S357" s="25" t="n"/>
      <c r="T357" s="25">
        <f>IF(AND(R357="",S357=""),"",N(R357)+N(S357))</f>
        <v/>
      </c>
      <c r="U357" s="25" t="n"/>
      <c r="V357" s="26" t="inlineStr">
        <is>
          <t>IMDb</t>
        </is>
      </c>
      <c r="W357" s="26" t="inlineStr">
        <is>
          <t>FilmAffinity</t>
        </is>
      </c>
      <c r="X357" s="26" t="inlineStr">
        <is>
          <t>Letterboxd</t>
        </is>
      </c>
    </row>
    <row r="358">
      <c r="A358" t="inlineStr">
        <is>
          <t>p0357</t>
        </is>
      </c>
      <c r="B358" t="inlineStr">
        <is>
          <t>Toy Story 3</t>
        </is>
      </c>
      <c r="C358" t="inlineStr">
        <is>
          <t>Toy Story 3</t>
        </is>
      </c>
      <c r="D358" s="4" t="n">
        <v>2010</v>
      </c>
      <c r="E358" s="4">
        <f>IF(D358="","",FLOOR(D358,10))</f>
        <v/>
      </c>
      <c r="F358" s="22" t="n">
        <v>103</v>
      </c>
      <c r="G358" s="23" t="n">
        <v>7.6</v>
      </c>
      <c r="H358" t="inlineStr">
        <is>
          <t>Lee Unkrich</t>
        </is>
      </c>
      <c r="I358" t="inlineStr">
        <is>
          <t>Estados Unidos</t>
        </is>
      </c>
      <c r="J358" t="inlineStr">
        <is>
          <t>Animación, Comedia, Familiar</t>
        </is>
      </c>
      <c r="K358" t="inlineStr">
        <is>
          <t>Toy Story</t>
        </is>
      </c>
      <c r="M358" s="6" t="n"/>
      <c r="O358" s="24" t="inlineStr"/>
      <c r="Q358" s="25" t="n"/>
      <c r="R358" s="25" t="n"/>
      <c r="S358" s="25" t="n"/>
      <c r="T358" s="25">
        <f>IF(AND(R358="",S358=""),"",N(R358)+N(S358))</f>
        <v/>
      </c>
      <c r="U358" s="25" t="n"/>
      <c r="V358" s="26" t="inlineStr">
        <is>
          <t>IMDb</t>
        </is>
      </c>
      <c r="W358" s="26" t="inlineStr">
        <is>
          <t>FilmAffinity</t>
        </is>
      </c>
      <c r="X358" s="26" t="inlineStr">
        <is>
          <t>Letterboxd</t>
        </is>
      </c>
    </row>
    <row r="359">
      <c r="A359" t="inlineStr">
        <is>
          <t>p0358</t>
        </is>
      </c>
      <c r="B359" t="inlineStr">
        <is>
          <t>Four Lions</t>
        </is>
      </c>
      <c r="C359" t="inlineStr">
        <is>
          <t>Four Lions</t>
        </is>
      </c>
      <c r="D359" s="4" t="n">
        <v>2010</v>
      </c>
      <c r="E359" s="4">
        <f>IF(D359="","",FLOOR(D359,10))</f>
        <v/>
      </c>
      <c r="F359" s="22" t="n">
        <v>94</v>
      </c>
      <c r="G359" s="23" t="n">
        <v>7.4</v>
      </c>
      <c r="H359" t="inlineStr">
        <is>
          <t>Chris Morris</t>
        </is>
      </c>
      <c r="I359" t="inlineStr">
        <is>
          <t>Reino Unido</t>
        </is>
      </c>
      <c r="J359" t="inlineStr">
        <is>
          <t>Comedia</t>
        </is>
      </c>
      <c r="M359" s="6" t="n"/>
      <c r="O359" s="24" t="inlineStr"/>
      <c r="Q359" s="25" t="n"/>
      <c r="R359" s="25" t="n"/>
      <c r="S359" s="25" t="n"/>
      <c r="T359" s="25">
        <f>IF(AND(R359="",S359=""),"",N(R359)+N(S359))</f>
        <v/>
      </c>
      <c r="U359" s="25" t="n"/>
      <c r="V359" s="26" t="inlineStr">
        <is>
          <t>IMDb</t>
        </is>
      </c>
      <c r="W359" s="26" t="inlineStr">
        <is>
          <t>FilmAffinity</t>
        </is>
      </c>
      <c r="X359" s="26" t="inlineStr">
        <is>
          <t>Letterboxd</t>
        </is>
      </c>
    </row>
    <row r="360">
      <c r="A360" t="inlineStr">
        <is>
          <t>p0359</t>
        </is>
      </c>
      <c r="B360" t="inlineStr">
        <is>
          <t>Mi nombre es Khan</t>
        </is>
      </c>
      <c r="C360" t="inlineStr">
        <is>
          <t>My Name Is Khan</t>
        </is>
      </c>
      <c r="D360" s="4" t="n">
        <v>2010</v>
      </c>
      <c r="E360" s="4">
        <f>IF(D360="","",FLOOR(D360,10))</f>
        <v/>
      </c>
      <c r="F360" s="22" t="n">
        <v>160</v>
      </c>
      <c r="G360" s="23" t="n">
        <v>7.4</v>
      </c>
      <c r="H360" t="inlineStr">
        <is>
          <t>Karan Johar</t>
        </is>
      </c>
      <c r="I360" t="inlineStr">
        <is>
          <t>India</t>
        </is>
      </c>
      <c r="J360" t="inlineStr">
        <is>
          <t>Drama</t>
        </is>
      </c>
      <c r="M360" s="6" t="n"/>
      <c r="O360" s="24" t="inlineStr"/>
      <c r="Q360" s="25" t="n"/>
      <c r="R360" s="25" t="n"/>
      <c r="S360" s="25" t="n"/>
      <c r="T360" s="25">
        <f>IF(AND(R360="",S360=""),"",N(R360)+N(S360))</f>
        <v/>
      </c>
      <c r="U360" s="25" t="n"/>
      <c r="V360" s="26" t="inlineStr">
        <is>
          <t>IMDb</t>
        </is>
      </c>
      <c r="W360" s="26" t="inlineStr">
        <is>
          <t>FilmAffinity</t>
        </is>
      </c>
      <c r="X360" s="26" t="inlineStr">
        <is>
          <t>Letterboxd</t>
        </is>
      </c>
    </row>
    <row r="361">
      <c r="A361" t="inlineStr">
        <is>
          <t>p0360</t>
        </is>
      </c>
      <c r="B361" t="inlineStr">
        <is>
          <t>Iron Man 2</t>
        </is>
      </c>
      <c r="C361" t="inlineStr">
        <is>
          <t>Iron Man 2</t>
        </is>
      </c>
      <c r="D361" s="4" t="n">
        <v>2010</v>
      </c>
      <c r="E361" s="4">
        <f>IF(D361="","",FLOOR(D361,10))</f>
        <v/>
      </c>
      <c r="F361" s="22" t="n">
        <v>124</v>
      </c>
      <c r="G361" s="23" t="n">
        <v>6.7</v>
      </c>
      <c r="H361" t="inlineStr">
        <is>
          <t>Jon Favreau</t>
        </is>
      </c>
      <c r="I361" t="inlineStr">
        <is>
          <t>Estados Unidos</t>
        </is>
      </c>
      <c r="J361" t="inlineStr">
        <is>
          <t>Superhéroes, Acción</t>
        </is>
      </c>
      <c r="K361" t="inlineStr">
        <is>
          <t>UCM</t>
        </is>
      </c>
      <c r="L361" t="inlineStr">
        <is>
          <t>Fase 1 · Saga del Infinito</t>
        </is>
      </c>
      <c r="M361" s="6" t="n"/>
      <c r="O361" s="24" t="inlineStr"/>
      <c r="Q361" s="25" t="n">
        <v>128122480</v>
      </c>
      <c r="R361" s="25" t="n">
        <v>312433331</v>
      </c>
      <c r="S361" s="25" t="n">
        <v>311500000</v>
      </c>
      <c r="T361" s="25">
        <f>IF(AND(R361="",S361=""),"",N(R361)+N(S361))</f>
        <v/>
      </c>
      <c r="U361" s="25" t="n">
        <v>200000000</v>
      </c>
      <c r="V361" s="26" t="inlineStr">
        <is>
          <t>IMDb</t>
        </is>
      </c>
      <c r="W361" s="26" t="inlineStr">
        <is>
          <t>FilmAffinity</t>
        </is>
      </c>
      <c r="X361" s="26" t="inlineStr">
        <is>
          <t>Letterboxd</t>
        </is>
      </c>
    </row>
    <row r="362">
      <c r="A362" t="inlineStr">
        <is>
          <t>p0361</t>
        </is>
      </c>
      <c r="B362" t="inlineStr">
        <is>
          <t>Cómo entrenar a tu dragón</t>
        </is>
      </c>
      <c r="C362" t="inlineStr">
        <is>
          <t>How to Train Your Dragon</t>
        </is>
      </c>
      <c r="D362" s="4" t="n">
        <v>2010</v>
      </c>
      <c r="E362" s="4">
        <f>IF(D362="","",FLOOR(D362,10))</f>
        <v/>
      </c>
      <c r="F362" s="22" t="n">
        <v>98</v>
      </c>
      <c r="G362" s="23" t="n">
        <v>6.7</v>
      </c>
      <c r="H362" t="inlineStr">
        <is>
          <t>Dean Deblois / Chris Sanders</t>
        </is>
      </c>
      <c r="I362" t="inlineStr">
        <is>
          <t>Estados Unidos</t>
        </is>
      </c>
      <c r="J362" t="inlineStr">
        <is>
          <t>Animación, Aventura, Fantasía</t>
        </is>
      </c>
      <c r="M362" s="6" t="n"/>
      <c r="O362" s="24" t="inlineStr"/>
      <c r="Q362" s="25" t="n"/>
      <c r="R362" s="25" t="n"/>
      <c r="S362" s="25" t="n"/>
      <c r="T362" s="25">
        <f>IF(AND(R362="",S362=""),"",N(R362)+N(S362))</f>
        <v/>
      </c>
      <c r="U362" s="25" t="n"/>
      <c r="V362" s="26" t="inlineStr">
        <is>
          <t>IMDb</t>
        </is>
      </c>
      <c r="W362" s="26" t="inlineStr">
        <is>
          <t>FilmAffinity</t>
        </is>
      </c>
      <c r="X362" s="26" t="inlineStr">
        <is>
          <t>Letterboxd</t>
        </is>
      </c>
    </row>
    <row r="363">
      <c r="A363" t="inlineStr">
        <is>
          <t>p0362</t>
        </is>
      </c>
      <c r="B363" t="inlineStr">
        <is>
          <t>Insidious</t>
        </is>
      </c>
      <c r="C363" t="inlineStr">
        <is>
          <t>Insidious</t>
        </is>
      </c>
      <c r="D363" s="4" t="n">
        <v>2010</v>
      </c>
      <c r="E363" s="4">
        <f>IF(D363="","",FLOOR(D363,10))</f>
        <v/>
      </c>
      <c r="F363" s="22" t="n">
        <v>102</v>
      </c>
      <c r="G363" s="23" t="n">
        <v>6.6</v>
      </c>
      <c r="H363" t="inlineStr">
        <is>
          <t>James Wan</t>
        </is>
      </c>
      <c r="I363" t="inlineStr">
        <is>
          <t>Estados Unidos</t>
        </is>
      </c>
      <c r="J363" t="inlineStr">
        <is>
          <t>Terror</t>
        </is>
      </c>
      <c r="K363" t="inlineStr">
        <is>
          <t>Insidious</t>
        </is>
      </c>
      <c r="M363" s="6" t="n"/>
      <c r="O363" s="24" t="inlineStr"/>
      <c r="Q363" s="25" t="n"/>
      <c r="R363" s="25" t="n"/>
      <c r="S363" s="25" t="n"/>
      <c r="T363" s="25">
        <f>IF(AND(R363="",S363=""),"",N(R363)+N(S363))</f>
        <v/>
      </c>
      <c r="U363" s="25" t="n"/>
      <c r="V363" s="26" t="inlineStr">
        <is>
          <t>IMDb</t>
        </is>
      </c>
      <c r="W363" s="26" t="inlineStr">
        <is>
          <t>FilmAffinity</t>
        </is>
      </c>
      <c r="X363" s="26" t="inlineStr">
        <is>
          <t>Letterboxd</t>
        </is>
      </c>
    </row>
    <row r="364">
      <c r="A364" t="inlineStr">
        <is>
          <t>p0363</t>
        </is>
      </c>
      <c r="B364" t="inlineStr">
        <is>
          <t>Gru, Mi Villano Favorito</t>
        </is>
      </c>
      <c r="C364" t="inlineStr">
        <is>
          <t>Despicable Me</t>
        </is>
      </c>
      <c r="D364" s="4" t="n">
        <v>2010</v>
      </c>
      <c r="E364" s="4">
        <f>IF(D364="","",FLOOR(D364,10))</f>
        <v/>
      </c>
      <c r="F364" s="22" t="n">
        <v>92</v>
      </c>
      <c r="G364" s="23" t="n">
        <v>6.6</v>
      </c>
      <c r="H364" t="inlineStr">
        <is>
          <t>Pierre Coffin / Chris Renaud</t>
        </is>
      </c>
      <c r="I364" t="inlineStr">
        <is>
          <t>Estados Unidos</t>
        </is>
      </c>
      <c r="J364" t="inlineStr">
        <is>
          <t>Animación, Comedia, Familiar</t>
        </is>
      </c>
      <c r="K364" t="inlineStr">
        <is>
          <t>Gru</t>
        </is>
      </c>
      <c r="M364" s="6" t="n"/>
      <c r="O364" s="24" t="inlineStr"/>
      <c r="Q364" s="25" t="n"/>
      <c r="R364" s="25" t="n"/>
      <c r="S364" s="25" t="n"/>
      <c r="T364" s="25">
        <f>IF(AND(R364="",S364=""),"",N(R364)+N(S364))</f>
        <v/>
      </c>
      <c r="U364" s="25" t="n"/>
      <c r="V364" s="26" t="inlineStr">
        <is>
          <t>IMDb</t>
        </is>
      </c>
      <c r="W364" s="26" t="inlineStr">
        <is>
          <t>FilmAffinity</t>
        </is>
      </c>
      <c r="X364" s="26" t="inlineStr">
        <is>
          <t>Letterboxd</t>
        </is>
      </c>
    </row>
    <row r="365">
      <c r="A365" t="inlineStr">
        <is>
          <t>p0364</t>
        </is>
      </c>
      <c r="B365" t="inlineStr">
        <is>
          <t>Buried</t>
        </is>
      </c>
      <c r="C365" t="inlineStr">
        <is>
          <t>Buried</t>
        </is>
      </c>
      <c r="D365" s="4" t="n">
        <v>2010</v>
      </c>
      <c r="E365" s="4">
        <f>IF(D365="","",FLOOR(D365,10))</f>
        <v/>
      </c>
      <c r="F365" s="22" t="n">
        <v>93</v>
      </c>
      <c r="G365" s="23" t="n">
        <v>6.6</v>
      </c>
      <c r="H365" t="inlineStr">
        <is>
          <t>Rodrigo Cortés</t>
        </is>
      </c>
      <c r="I365" t="inlineStr">
        <is>
          <t>España</t>
        </is>
      </c>
      <c r="J365" t="inlineStr">
        <is>
          <t>Thriller</t>
        </is>
      </c>
      <c r="M365" s="6" t="n"/>
      <c r="O365" s="24" t="inlineStr"/>
      <c r="Q365" s="25" t="n"/>
      <c r="R365" s="25" t="n"/>
      <c r="S365" s="25" t="n"/>
      <c r="T365" s="25">
        <f>IF(AND(R365="",S365=""),"",N(R365)+N(S365))</f>
        <v/>
      </c>
      <c r="U365" s="25" t="n"/>
      <c r="V365" s="26" t="inlineStr">
        <is>
          <t>IMDb</t>
        </is>
      </c>
      <c r="W365" s="26" t="inlineStr">
        <is>
          <t>FilmAffinity</t>
        </is>
      </c>
      <c r="X365" s="26" t="inlineStr">
        <is>
          <t>Letterboxd</t>
        </is>
      </c>
    </row>
    <row r="366">
      <c r="A366" t="inlineStr">
        <is>
          <t>p0365</t>
        </is>
      </c>
      <c r="B366" t="inlineStr">
        <is>
          <t>Secuestrados</t>
        </is>
      </c>
      <c r="C366" t="inlineStr">
        <is>
          <t>Secuestrados</t>
        </is>
      </c>
      <c r="D366" s="4" t="n">
        <v>2010</v>
      </c>
      <c r="E366" s="4">
        <f>IF(D366="","",FLOOR(D366,10))</f>
        <v/>
      </c>
      <c r="F366" s="22" t="n">
        <v>85</v>
      </c>
      <c r="G366" s="23" t="n">
        <v>6</v>
      </c>
      <c r="H366" t="inlineStr">
        <is>
          <t>Miguel Ángel Vivas</t>
        </is>
      </c>
      <c r="I366" t="inlineStr">
        <is>
          <t>España</t>
        </is>
      </c>
      <c r="J366" t="inlineStr">
        <is>
          <t>Terror, Thriller</t>
        </is>
      </c>
      <c r="M366" s="6" t="n"/>
      <c r="O366" s="24" t="inlineStr"/>
      <c r="Q366" s="25" t="n"/>
      <c r="R366" s="25" t="n"/>
      <c r="S366" s="25" t="n"/>
      <c r="T366" s="25">
        <f>IF(AND(R366="",S366=""),"",N(R366)+N(S366))</f>
        <v/>
      </c>
      <c r="U366" s="25" t="n"/>
      <c r="V366" s="26" t="inlineStr">
        <is>
          <t>IMDb</t>
        </is>
      </c>
      <c r="W366" s="26" t="inlineStr">
        <is>
          <t>FilmAffinity</t>
        </is>
      </c>
      <c r="X366" s="26" t="inlineStr">
        <is>
          <t>Letterboxd</t>
        </is>
      </c>
    </row>
    <row r="367">
      <c r="A367" t="inlineStr">
        <is>
          <t>p0366</t>
        </is>
      </c>
      <c r="B367" t="inlineStr">
        <is>
          <t>Que se mueran los feos</t>
        </is>
      </c>
      <c r="C367" t="inlineStr">
        <is>
          <t>Que se mueran los feos</t>
        </is>
      </c>
      <c r="D367" s="4" t="n">
        <v>2010</v>
      </c>
      <c r="E367" s="4">
        <f>IF(D367="","",FLOOR(D367,10))</f>
        <v/>
      </c>
      <c r="F367" s="22" t="n">
        <v>105</v>
      </c>
      <c r="G367" s="23" t="n">
        <v>5.8</v>
      </c>
      <c r="H367" t="inlineStr">
        <is>
          <t>Nacho G. Velilla</t>
        </is>
      </c>
      <c r="I367" t="inlineStr">
        <is>
          <t>España</t>
        </is>
      </c>
      <c r="J367" t="inlineStr">
        <is>
          <t>Comedia, Romance</t>
        </is>
      </c>
      <c r="M367" s="6" t="n"/>
      <c r="O367" s="24" t="inlineStr"/>
      <c r="Q367" s="25" t="n"/>
      <c r="R367" s="25" t="n"/>
      <c r="S367" s="25" t="n"/>
      <c r="T367" s="25">
        <f>IF(AND(R367="",S367=""),"",N(R367)+N(S367))</f>
        <v/>
      </c>
      <c r="U367" s="25" t="n"/>
      <c r="V367" s="26" t="inlineStr">
        <is>
          <t>IMDb</t>
        </is>
      </c>
      <c r="W367" s="26" t="inlineStr">
        <is>
          <t>FilmAffinity</t>
        </is>
      </c>
      <c r="X367" s="26" t="inlineStr">
        <is>
          <t>Letterboxd</t>
        </is>
      </c>
    </row>
    <row r="368">
      <c r="A368" t="inlineStr">
        <is>
          <t>p0367</t>
        </is>
      </c>
      <c r="B368" t="inlineStr">
        <is>
          <t>Alicia en el país de las maravillas</t>
        </is>
      </c>
      <c r="C368" t="inlineStr">
        <is>
          <t>Alice in Wonderland</t>
        </is>
      </c>
      <c r="D368" s="4" t="n">
        <v>2010</v>
      </c>
      <c r="E368" s="4">
        <f>IF(D368="","",FLOOR(D368,10))</f>
        <v/>
      </c>
      <c r="F368" s="22" t="n">
        <v>108</v>
      </c>
      <c r="G368" s="23" t="n">
        <v>5.7</v>
      </c>
      <c r="H368" t="inlineStr">
        <is>
          <t>Tim Burton</t>
        </is>
      </c>
      <c r="I368" t="inlineStr">
        <is>
          <t>Estados Unidos</t>
        </is>
      </c>
      <c r="J368" t="inlineStr">
        <is>
          <t>Fantasía, Aventura</t>
        </is>
      </c>
      <c r="M368" s="6" t="n"/>
      <c r="O368" s="24" t="inlineStr"/>
      <c r="Q368" s="25" t="n"/>
      <c r="R368" s="25" t="n"/>
      <c r="S368" s="25" t="n"/>
      <c r="T368" s="25">
        <f>IF(AND(R368="",S368=""),"",N(R368)+N(S368))</f>
        <v/>
      </c>
      <c r="U368" s="25" t="n"/>
      <c r="V368" s="26" t="inlineStr">
        <is>
          <t>IMDb</t>
        </is>
      </c>
      <c r="W368" s="26" t="inlineStr">
        <is>
          <t>FilmAffinity</t>
        </is>
      </c>
      <c r="X368" s="26" t="inlineStr">
        <is>
          <t>Letterboxd</t>
        </is>
      </c>
    </row>
    <row r="369">
      <c r="A369" t="inlineStr">
        <is>
          <t>p0368</t>
        </is>
      </c>
      <c r="B369" t="inlineStr">
        <is>
          <t>Crepúsculo: Eclipse</t>
        </is>
      </c>
      <c r="C369" t="inlineStr">
        <is>
          <t>The Twilight Saga: Eclipse</t>
        </is>
      </c>
      <c r="D369" s="4" t="n">
        <v>2010</v>
      </c>
      <c r="E369" s="4">
        <f>IF(D369="","",FLOOR(D369,10))</f>
        <v/>
      </c>
      <c r="F369" s="22" t="n">
        <v>124</v>
      </c>
      <c r="G369" s="23" t="n">
        <v>5</v>
      </c>
      <c r="H369" t="inlineStr">
        <is>
          <t>David Slade</t>
        </is>
      </c>
      <c r="I369" t="inlineStr">
        <is>
          <t>Estados Unidos</t>
        </is>
      </c>
      <c r="J369" t="inlineStr">
        <is>
          <t>Romance, Fantasía</t>
        </is>
      </c>
      <c r="K369" t="inlineStr">
        <is>
          <t>Crepúsculo</t>
        </is>
      </c>
      <c r="M369" s="6" t="n"/>
      <c r="O369" s="24" t="inlineStr"/>
      <c r="Q369" s="25" t="n"/>
      <c r="R369" s="25" t="n"/>
      <c r="S369" s="25" t="n"/>
      <c r="T369" s="25">
        <f>IF(AND(R369="",S369=""),"",N(R369)+N(S369))</f>
        <v/>
      </c>
      <c r="U369" s="25" t="n"/>
      <c r="V369" s="26" t="inlineStr">
        <is>
          <t>IMDb</t>
        </is>
      </c>
      <c r="W369" s="26" t="inlineStr">
        <is>
          <t>FilmAffinity</t>
        </is>
      </c>
      <c r="X369" s="26" t="inlineStr">
        <is>
          <t>Letterboxd</t>
        </is>
      </c>
    </row>
    <row r="370">
      <c r="A370" t="inlineStr">
        <is>
          <t>p0369</t>
        </is>
      </c>
      <c r="B370" t="inlineStr">
        <is>
          <t>Niños Grandes</t>
        </is>
      </c>
      <c r="C370" t="inlineStr">
        <is>
          <t>Grown Ups</t>
        </is>
      </c>
      <c r="D370" s="4" t="n">
        <v>2010</v>
      </c>
      <c r="E370" s="4">
        <f>IF(D370="","",FLOOR(D370,10))</f>
        <v/>
      </c>
      <c r="F370" s="22" t="n">
        <v>97</v>
      </c>
      <c r="G370" s="23" t="n">
        <v>5</v>
      </c>
      <c r="H370" t="inlineStr">
        <is>
          <t>Dennis Dugan</t>
        </is>
      </c>
      <c r="I370" t="inlineStr">
        <is>
          <t>Estados Unidos</t>
        </is>
      </c>
      <c r="J370" t="inlineStr">
        <is>
          <t>Comedia</t>
        </is>
      </c>
      <c r="K370" t="inlineStr">
        <is>
          <t>Niños grandes</t>
        </is>
      </c>
      <c r="M370" s="6" t="n"/>
      <c r="O370" s="24" t="inlineStr"/>
      <c r="Q370" s="25" t="n"/>
      <c r="R370" s="25" t="n"/>
      <c r="S370" s="25" t="n"/>
      <c r="T370" s="25">
        <f>IF(AND(R370="",S370=""),"",N(R370)+N(S370))</f>
        <v/>
      </c>
      <c r="U370" s="25" t="n"/>
      <c r="V370" s="26" t="inlineStr">
        <is>
          <t>IMDb</t>
        </is>
      </c>
      <c r="W370" s="26" t="inlineStr">
        <is>
          <t>FilmAffinity</t>
        </is>
      </c>
      <c r="X370" s="26" t="inlineStr">
        <is>
          <t>Letterboxd</t>
        </is>
      </c>
    </row>
    <row r="371">
      <c r="A371" t="inlineStr">
        <is>
          <t>p0370</t>
        </is>
      </c>
      <c r="B371" t="inlineStr">
        <is>
          <t>La Niñera Mágica y el Big Bang</t>
        </is>
      </c>
      <c r="C371" t="inlineStr">
        <is>
          <t>Nanny McPhee and the Big Bang</t>
        </is>
      </c>
      <c r="D371" s="4" t="n">
        <v>2010</v>
      </c>
      <c r="E371" s="4">
        <f>IF(D371="","",FLOOR(D371,10))</f>
        <v/>
      </c>
      <c r="F371" s="22" t="n">
        <v>105</v>
      </c>
      <c r="G371" s="23" t="n">
        <v>4.8</v>
      </c>
      <c r="H371" t="inlineStr">
        <is>
          <t>Susanna White</t>
        </is>
      </c>
      <c r="I371" t="inlineStr">
        <is>
          <t>Reino Unido</t>
        </is>
      </c>
      <c r="J371" t="inlineStr">
        <is>
          <t>Fantasía, Familiar, Comedia</t>
        </is>
      </c>
      <c r="M371" s="6" t="n"/>
      <c r="O371" s="24" t="inlineStr"/>
      <c r="Q371" s="25" t="n"/>
      <c r="R371" s="25" t="n"/>
      <c r="S371" s="25" t="n"/>
      <c r="T371" s="25">
        <f>IF(AND(R371="",S371=""),"",N(R371)+N(S371))</f>
        <v/>
      </c>
      <c r="U371" s="25" t="n"/>
      <c r="V371" s="26" t="inlineStr">
        <is>
          <t>IMDb</t>
        </is>
      </c>
      <c r="W371" s="26" t="inlineStr">
        <is>
          <t>FilmAffinity</t>
        </is>
      </c>
      <c r="X371" s="26" t="inlineStr">
        <is>
          <t>Letterboxd</t>
        </is>
      </c>
    </row>
    <row r="372">
      <c r="A372" t="inlineStr">
        <is>
          <t>p0371</t>
        </is>
      </c>
      <c r="B372" t="inlineStr">
        <is>
          <t>Malditos bastardos</t>
        </is>
      </c>
      <c r="C372" t="inlineStr">
        <is>
          <t>Inglourious Basterds</t>
        </is>
      </c>
      <c r="D372" s="4" t="n">
        <v>2009</v>
      </c>
      <c r="E372" s="4">
        <f>IF(D372="","",FLOOR(D372,10))</f>
        <v/>
      </c>
      <c r="F372" s="22" t="n">
        <v>146</v>
      </c>
      <c r="G372" s="23" t="n">
        <v>9.1</v>
      </c>
      <c r="H372" t="inlineStr">
        <is>
          <t>Quentin Tarantino</t>
        </is>
      </c>
      <c r="I372" t="inlineStr">
        <is>
          <t>Estados Unidos</t>
        </is>
      </c>
      <c r="J372" t="inlineStr">
        <is>
          <t>Bélico, Acción, Drama</t>
        </is>
      </c>
      <c r="M372" s="6" t="n"/>
      <c r="O372" s="24" t="inlineStr"/>
      <c r="Q372" s="25" t="n"/>
      <c r="R372" s="25" t="n"/>
      <c r="S372" s="25" t="n"/>
      <c r="T372" s="25">
        <f>IF(AND(R372="",S372=""),"",N(R372)+N(S372))</f>
        <v/>
      </c>
      <c r="U372" s="25" t="n"/>
      <c r="V372" s="26" t="inlineStr">
        <is>
          <t>IMDb</t>
        </is>
      </c>
      <c r="W372" s="26" t="inlineStr">
        <is>
          <t>FilmAffinity</t>
        </is>
      </c>
      <c r="X372" s="26" t="inlineStr">
        <is>
          <t>Letterboxd</t>
        </is>
      </c>
    </row>
    <row r="373">
      <c r="A373" t="inlineStr">
        <is>
          <t>p0372</t>
        </is>
      </c>
      <c r="B373" t="inlineStr">
        <is>
          <t>Celda 211</t>
        </is>
      </c>
      <c r="C373" t="inlineStr">
        <is>
          <t>Celda 211</t>
        </is>
      </c>
      <c r="D373" s="4" t="n">
        <v>2009</v>
      </c>
      <c r="E373" s="4">
        <f>IF(D373="","",FLOOR(D373,10))</f>
        <v/>
      </c>
      <c r="F373" s="22" t="n">
        <v>110</v>
      </c>
      <c r="G373" s="23" t="n">
        <v>7.9</v>
      </c>
      <c r="H373" t="inlineStr">
        <is>
          <t>Daniel Monzón</t>
        </is>
      </c>
      <c r="I373" t="inlineStr">
        <is>
          <t>España</t>
        </is>
      </c>
      <c r="J373" t="inlineStr">
        <is>
          <t>Thriller, Acción, Drama</t>
        </is>
      </c>
      <c r="M373" s="6" t="n"/>
      <c r="O373" s="24" t="inlineStr"/>
      <c r="Q373" s="25" t="n"/>
      <c r="R373" s="25" t="n"/>
      <c r="S373" s="25" t="n"/>
      <c r="T373" s="25">
        <f>IF(AND(R373="",S373=""),"",N(R373)+N(S373))</f>
        <v/>
      </c>
      <c r="U373" s="25" t="n"/>
      <c r="V373" s="26" t="inlineStr">
        <is>
          <t>IMDb</t>
        </is>
      </c>
      <c r="W373" s="26" t="inlineStr">
        <is>
          <t>FilmAffinity</t>
        </is>
      </c>
      <c r="X373" s="26" t="inlineStr">
        <is>
          <t>Letterboxd</t>
        </is>
      </c>
    </row>
    <row r="374">
      <c r="A374" t="inlineStr">
        <is>
          <t>p0373</t>
        </is>
      </c>
      <c r="B374" t="inlineStr">
        <is>
          <t>Up</t>
        </is>
      </c>
      <c r="C374" t="inlineStr">
        <is>
          <t>Up</t>
        </is>
      </c>
      <c r="D374" s="4" t="n">
        <v>2009</v>
      </c>
      <c r="E374" s="4">
        <f>IF(D374="","",FLOOR(D374,10))</f>
        <v/>
      </c>
      <c r="F374" s="22" t="n">
        <v>96</v>
      </c>
      <c r="G374" s="23" t="n">
        <v>7.8</v>
      </c>
      <c r="H374" t="inlineStr">
        <is>
          <t>Pete Docter / Bob Peterson</t>
        </is>
      </c>
      <c r="I374" t="inlineStr">
        <is>
          <t>Estados Unidos</t>
        </is>
      </c>
      <c r="J374" t="inlineStr">
        <is>
          <t>Animación, Aventura, Comedia</t>
        </is>
      </c>
      <c r="M374" s="6" t="n"/>
      <c r="O374" s="24" t="inlineStr"/>
      <c r="Q374" s="25" t="n"/>
      <c r="R374" s="25" t="n"/>
      <c r="S374" s="25" t="n"/>
      <c r="T374" s="25">
        <f>IF(AND(R374="",S374=""),"",N(R374)+N(S374))</f>
        <v/>
      </c>
      <c r="U374" s="25" t="n"/>
      <c r="V374" s="26" t="inlineStr">
        <is>
          <t>IMDb</t>
        </is>
      </c>
      <c r="W374" s="26" t="inlineStr">
        <is>
          <t>FilmAffinity</t>
        </is>
      </c>
      <c r="X374" s="26" t="inlineStr">
        <is>
          <t>Letterboxd</t>
        </is>
      </c>
    </row>
    <row r="375">
      <c r="A375" t="inlineStr">
        <is>
          <t>p0374</t>
        </is>
      </c>
      <c r="B375" t="inlineStr">
        <is>
          <t>Resacón en las Vegas</t>
        </is>
      </c>
      <c r="C375" t="inlineStr">
        <is>
          <t>The Hangover</t>
        </is>
      </c>
      <c r="D375" s="4" t="n">
        <v>2009</v>
      </c>
      <c r="E375" s="4">
        <f>IF(D375="","",FLOOR(D375,10))</f>
        <v/>
      </c>
      <c r="F375" s="22" t="n">
        <v>100</v>
      </c>
      <c r="G375" s="23" t="n">
        <v>7.5</v>
      </c>
      <c r="H375" t="inlineStr">
        <is>
          <t>Todd Phillips</t>
        </is>
      </c>
      <c r="I375" t="inlineStr">
        <is>
          <t>Estados Unidos</t>
        </is>
      </c>
      <c r="J375" t="inlineStr">
        <is>
          <t>Comedia</t>
        </is>
      </c>
      <c r="K375" t="inlineStr">
        <is>
          <t>Resacón</t>
        </is>
      </c>
      <c r="M375" s="6" t="n"/>
      <c r="O375" s="24" t="inlineStr"/>
      <c r="Q375" s="25" t="n"/>
      <c r="R375" s="25" t="n"/>
      <c r="S375" s="25" t="n"/>
      <c r="T375" s="25">
        <f>IF(AND(R375="",S375=""),"",N(R375)+N(S375))</f>
        <v/>
      </c>
      <c r="U375" s="25" t="n"/>
      <c r="V375" s="26" t="inlineStr">
        <is>
          <t>IMDb</t>
        </is>
      </c>
      <c r="W375" s="26" t="inlineStr">
        <is>
          <t>FilmAffinity</t>
        </is>
      </c>
      <c r="X375" s="26" t="inlineStr">
        <is>
          <t>Letterboxd</t>
        </is>
      </c>
    </row>
    <row r="376">
      <c r="A376" t="inlineStr">
        <is>
          <t>p0375</t>
        </is>
      </c>
      <c r="B376" t="inlineStr">
        <is>
          <t>REC 2</t>
        </is>
      </c>
      <c r="C376" t="inlineStr">
        <is>
          <t>REC 2</t>
        </is>
      </c>
      <c r="D376" s="4" t="n">
        <v>2009</v>
      </c>
      <c r="E376" s="4">
        <f>IF(D376="","",FLOOR(D376,10))</f>
        <v/>
      </c>
      <c r="F376" s="22" t="n">
        <v>81</v>
      </c>
      <c r="G376" s="23" t="n">
        <v>6.1</v>
      </c>
      <c r="H376" t="inlineStr">
        <is>
          <t>Jaume Balagueró / Paco Plaza</t>
        </is>
      </c>
      <c r="I376" t="inlineStr">
        <is>
          <t>España</t>
        </is>
      </c>
      <c r="J376" t="inlineStr">
        <is>
          <t>Terror</t>
        </is>
      </c>
      <c r="K376" t="inlineStr">
        <is>
          <t>REC</t>
        </is>
      </c>
      <c r="M376" s="6" t="n"/>
      <c r="O376" s="24" t="inlineStr"/>
      <c r="Q376" s="25" t="n"/>
      <c r="R376" s="25" t="n"/>
      <c r="S376" s="25" t="n"/>
      <c r="T376" s="25">
        <f>IF(AND(R376="",S376=""),"",N(R376)+N(S376))</f>
        <v/>
      </c>
      <c r="U376" s="25" t="n"/>
      <c r="V376" s="26" t="inlineStr">
        <is>
          <t>IMDb</t>
        </is>
      </c>
      <c r="W376" s="26" t="inlineStr">
        <is>
          <t>FilmAffinity</t>
        </is>
      </c>
      <c r="X376" s="26" t="inlineStr">
        <is>
          <t>Letterboxd</t>
        </is>
      </c>
    </row>
    <row r="377">
      <c r="A377" t="inlineStr">
        <is>
          <t>p0376</t>
        </is>
      </c>
      <c r="B377" t="inlineStr">
        <is>
          <t>Planet 51</t>
        </is>
      </c>
      <c r="C377" t="inlineStr">
        <is>
          <t>Planet 51</t>
        </is>
      </c>
      <c r="D377" s="4" t="n">
        <v>2009</v>
      </c>
      <c r="E377" s="4">
        <f>IF(D377="","",FLOOR(D377,10))</f>
        <v/>
      </c>
      <c r="F377" s="22" t="n">
        <v>91</v>
      </c>
      <c r="G377" s="23" t="n">
        <v>6.1</v>
      </c>
      <c r="H377" t="inlineStr">
        <is>
          <t>Jorge Blanco / Javier Abad / Marcos Martínez</t>
        </is>
      </c>
      <c r="I377" t="inlineStr">
        <is>
          <t>España</t>
        </is>
      </c>
      <c r="J377" t="inlineStr">
        <is>
          <t>Animación, Ciencia ficción, Comedia</t>
        </is>
      </c>
      <c r="M377" s="6" t="n"/>
      <c r="O377" s="24" t="inlineStr"/>
      <c r="Q377" s="25" t="n"/>
      <c r="R377" s="25" t="n"/>
      <c r="S377" s="25" t="n"/>
      <c r="T377" s="25">
        <f>IF(AND(R377="",S377=""),"",N(R377)+N(S377))</f>
        <v/>
      </c>
      <c r="U377" s="25" t="n"/>
      <c r="V377" s="26" t="inlineStr">
        <is>
          <t>IMDb</t>
        </is>
      </c>
      <c r="W377" s="26" t="inlineStr">
        <is>
          <t>FilmAffinity</t>
        </is>
      </c>
      <c r="X377" s="26" t="inlineStr">
        <is>
          <t>Letterboxd</t>
        </is>
      </c>
    </row>
    <row r="378">
      <c r="A378" t="inlineStr">
        <is>
          <t>p0377</t>
        </is>
      </c>
      <c r="B378" t="inlineStr">
        <is>
          <t>Crepúsculo: Luna Nueva</t>
        </is>
      </c>
      <c r="C378" t="inlineStr">
        <is>
          <t>The Twilight Saga: New Moon</t>
        </is>
      </c>
      <c r="D378" s="4" t="n">
        <v>2009</v>
      </c>
      <c r="E378" s="4">
        <f>IF(D378="","",FLOOR(D378,10))</f>
        <v/>
      </c>
      <c r="F378" s="22" t="n">
        <v>122</v>
      </c>
      <c r="G378" s="23" t="n">
        <v>5.9</v>
      </c>
      <c r="H378" t="inlineStr">
        <is>
          <t>Catherine Hardwicke</t>
        </is>
      </c>
      <c r="I378" t="inlineStr">
        <is>
          <t>Estados Unidos</t>
        </is>
      </c>
      <c r="J378" t="inlineStr">
        <is>
          <t>Romance, Fantasía</t>
        </is>
      </c>
      <c r="K378" t="inlineStr">
        <is>
          <t>Crepúsculo</t>
        </is>
      </c>
      <c r="M378" s="6" t="n"/>
      <c r="O378" s="24" t="inlineStr"/>
      <c r="Q378" s="25" t="n"/>
      <c r="R378" s="25" t="n"/>
      <c r="S378" s="25" t="n"/>
      <c r="T378" s="25">
        <f>IF(AND(R378="",S378=""),"",N(R378)+N(S378))</f>
        <v/>
      </c>
      <c r="U378" s="25" t="n"/>
      <c r="V378" s="26" t="inlineStr">
        <is>
          <t>IMDb</t>
        </is>
      </c>
      <c r="W378" s="26" t="inlineStr">
        <is>
          <t>FilmAffinity</t>
        </is>
      </c>
      <c r="X378" s="26" t="inlineStr">
        <is>
          <t>Letterboxd</t>
        </is>
      </c>
    </row>
    <row r="379">
      <c r="A379" t="inlineStr">
        <is>
          <t>p0378</t>
        </is>
      </c>
      <c r="B379" t="inlineStr">
        <is>
          <t>Ice Age 3: El Origen de los Dinosaurios</t>
        </is>
      </c>
      <c r="C379" t="inlineStr">
        <is>
          <t>Ice Age: Dawn of the Dinosaurs</t>
        </is>
      </c>
      <c r="D379" s="4" t="n">
        <v>2009</v>
      </c>
      <c r="E379" s="4">
        <f>IF(D379="","",FLOOR(D379,10))</f>
        <v/>
      </c>
      <c r="F379" s="22" t="n">
        <v>85</v>
      </c>
      <c r="G379" s="23" t="n">
        <v>5.7</v>
      </c>
      <c r="H379" t="inlineStr">
        <is>
          <t>Carlos Saldanha / Mike Thurmeier</t>
        </is>
      </c>
      <c r="I379" t="inlineStr">
        <is>
          <t>Estados Unidos</t>
        </is>
      </c>
      <c r="J379" t="inlineStr">
        <is>
          <t>Animación, Comedia, Familiar</t>
        </is>
      </c>
      <c r="K379" t="inlineStr">
        <is>
          <t>Ice Age</t>
        </is>
      </c>
      <c r="M379" s="6" t="n"/>
      <c r="O379" s="24" t="inlineStr"/>
      <c r="Q379" s="25" t="n"/>
      <c r="R379" s="25" t="n"/>
      <c r="S379" s="25" t="n"/>
      <c r="T379" s="25">
        <f>IF(AND(R379="",S379=""),"",N(R379)+N(S379))</f>
        <v/>
      </c>
      <c r="U379" s="25" t="n"/>
      <c r="V379" s="26" t="inlineStr">
        <is>
          <t>IMDb</t>
        </is>
      </c>
      <c r="W379" s="26" t="inlineStr">
        <is>
          <t>FilmAffinity</t>
        </is>
      </c>
      <c r="X379" s="26" t="inlineStr">
        <is>
          <t>Letterboxd</t>
        </is>
      </c>
    </row>
    <row r="380">
      <c r="A380" t="inlineStr">
        <is>
          <t>p0379</t>
        </is>
      </c>
      <c r="B380" t="inlineStr">
        <is>
          <t>La Proposición</t>
        </is>
      </c>
      <c r="C380" t="inlineStr">
        <is>
          <t>The Proposal</t>
        </is>
      </c>
      <c r="D380" s="4" t="n">
        <v>2009</v>
      </c>
      <c r="E380" s="4">
        <f>IF(D380="","",FLOOR(D380,10))</f>
        <v/>
      </c>
      <c r="F380" s="22" t="n">
        <v>107</v>
      </c>
      <c r="G380" s="23" t="n">
        <v>5.5</v>
      </c>
      <c r="H380" t="inlineStr">
        <is>
          <t>Anne Fletcher</t>
        </is>
      </c>
      <c r="I380" t="inlineStr">
        <is>
          <t>Estados Unidos</t>
        </is>
      </c>
      <c r="J380" t="inlineStr">
        <is>
          <t>Comedia, Romance</t>
        </is>
      </c>
      <c r="M380" s="6" t="n"/>
      <c r="O380" s="24" t="inlineStr"/>
      <c r="Q380" s="25" t="n"/>
      <c r="R380" s="25" t="n"/>
      <c r="S380" s="25" t="n"/>
      <c r="T380" s="25">
        <f>IF(AND(R380="",S380=""),"",N(R380)+N(S380))</f>
        <v/>
      </c>
      <c r="U380" s="25" t="n"/>
      <c r="V380" s="26" t="inlineStr">
        <is>
          <t>IMDb</t>
        </is>
      </c>
      <c r="W380" s="26" t="inlineStr">
        <is>
          <t>FilmAffinity</t>
        </is>
      </c>
      <c r="X380" s="26" t="inlineStr">
        <is>
          <t>Letterboxd</t>
        </is>
      </c>
    </row>
    <row r="381">
      <c r="A381" t="inlineStr">
        <is>
          <t>p0380</t>
        </is>
      </c>
      <c r="B381" t="inlineStr">
        <is>
          <t>G.I. JOE</t>
        </is>
      </c>
      <c r="C381" t="inlineStr">
        <is>
          <t>G.I. Joe: The Rise of Cobra</t>
        </is>
      </c>
      <c r="D381" s="4" t="n">
        <v>2009</v>
      </c>
      <c r="E381" s="4">
        <f>IF(D381="","",FLOOR(D381,10))</f>
        <v/>
      </c>
      <c r="F381" s="22" t="n">
        <v>118</v>
      </c>
      <c r="G381" s="23" t="n">
        <v>5.2</v>
      </c>
      <c r="H381" t="inlineStr">
        <is>
          <t>Stephen Sommers</t>
        </is>
      </c>
      <c r="I381" t="inlineStr">
        <is>
          <t>Estados Unidos</t>
        </is>
      </c>
      <c r="J381" t="inlineStr">
        <is>
          <t>Acción, Ciencia ficción</t>
        </is>
      </c>
      <c r="M381" s="6" t="n"/>
      <c r="O381" s="24" t="inlineStr"/>
      <c r="Q381" s="25" t="n"/>
      <c r="R381" s="25" t="n"/>
      <c r="S381" s="25" t="n"/>
      <c r="T381" s="25">
        <f>IF(AND(R381="",S381=""),"",N(R381)+N(S381))</f>
        <v/>
      </c>
      <c r="U381" s="25" t="n"/>
      <c r="V381" s="26" t="inlineStr">
        <is>
          <t>IMDb</t>
        </is>
      </c>
    </row>
    <row r="382">
      <c r="A382" t="inlineStr">
        <is>
          <t>p0381</t>
        </is>
      </c>
      <c r="B382" t="inlineStr">
        <is>
          <t>Fuga de cerebros</t>
        </is>
      </c>
      <c r="C382" t="inlineStr">
        <is>
          <t>Fuga de cerebros</t>
        </is>
      </c>
      <c r="D382" s="4" t="n">
        <v>2009</v>
      </c>
      <c r="E382" s="4">
        <f>IF(D382="","",FLOOR(D382,10))</f>
        <v/>
      </c>
      <c r="F382" s="22" t="n">
        <v>105</v>
      </c>
      <c r="G382" s="23" t="n">
        <v>5</v>
      </c>
      <c r="H382" t="inlineStr">
        <is>
          <t>Fernando González Molina</t>
        </is>
      </c>
      <c r="I382" t="inlineStr">
        <is>
          <t>España</t>
        </is>
      </c>
      <c r="J382" t="inlineStr">
        <is>
          <t>Comedia</t>
        </is>
      </c>
      <c r="M382" s="6" t="n"/>
      <c r="O382" s="24" t="inlineStr"/>
      <c r="Q382" s="25" t="n"/>
      <c r="R382" s="25" t="n"/>
      <c r="S382" s="25" t="n"/>
      <c r="T382" s="25">
        <f>IF(AND(R382="",S382=""),"",N(R382)+N(S382))</f>
        <v/>
      </c>
      <c r="U382" s="25" t="n"/>
      <c r="V382" s="26" t="inlineStr">
        <is>
          <t>IMDb</t>
        </is>
      </c>
      <c r="W382" s="26" t="inlineStr">
        <is>
          <t>FilmAffinity</t>
        </is>
      </c>
      <c r="X382" s="26" t="inlineStr">
        <is>
          <t>Letterboxd</t>
        </is>
      </c>
    </row>
    <row r="383">
      <c r="A383" t="inlineStr">
        <is>
          <t>p0382</t>
        </is>
      </c>
      <c r="B383" t="inlineStr">
        <is>
          <t>2012</t>
        </is>
      </c>
      <c r="C383" t="inlineStr">
        <is>
          <t>2012</t>
        </is>
      </c>
      <c r="D383" s="4" t="n">
        <v>2009</v>
      </c>
      <c r="E383" s="4">
        <f>IF(D383="","",FLOOR(D383,10))</f>
        <v/>
      </c>
      <c r="F383" s="22" t="n">
        <v>158</v>
      </c>
      <c r="G383" s="23" t="n">
        <v>4.8</v>
      </c>
      <c r="H383" t="inlineStr">
        <is>
          <t>Roland Emmerich</t>
        </is>
      </c>
      <c r="I383" t="inlineStr">
        <is>
          <t>Estados Unidos</t>
        </is>
      </c>
      <c r="J383" t="inlineStr">
        <is>
          <t>Acción, Ciencia ficción</t>
        </is>
      </c>
      <c r="M383" s="6" t="n"/>
      <c r="O383" s="24" t="inlineStr"/>
      <c r="Q383" s="25" t="n"/>
      <c r="R383" s="25" t="n"/>
      <c r="S383" s="25" t="n"/>
      <c r="T383" s="25">
        <f>IF(AND(R383="",S383=""),"",N(R383)+N(S383))</f>
        <v/>
      </c>
      <c r="U383" s="25" t="n"/>
      <c r="V383" s="26" t="inlineStr">
        <is>
          <t>IMDb</t>
        </is>
      </c>
      <c r="W383" s="26" t="inlineStr">
        <is>
          <t>FilmAffinity</t>
        </is>
      </c>
      <c r="X383" s="26" t="inlineStr">
        <is>
          <t>Letterboxd</t>
        </is>
      </c>
    </row>
    <row r="384">
      <c r="A384" t="inlineStr">
        <is>
          <t>p0383</t>
        </is>
      </c>
      <c r="B384" t="inlineStr">
        <is>
          <t>G-Force: Licencia para Espiar</t>
        </is>
      </c>
      <c r="C384" t="inlineStr">
        <is>
          <t>G-Force</t>
        </is>
      </c>
      <c r="D384" s="4" t="n">
        <v>2009</v>
      </c>
      <c r="E384" s="4">
        <f>IF(D384="","",FLOOR(D384,10))</f>
        <v/>
      </c>
      <c r="F384" s="22" t="n">
        <v>82</v>
      </c>
      <c r="G384" s="23" t="n">
        <v>4.1</v>
      </c>
      <c r="H384" t="inlineStr">
        <is>
          <t>Hoyt Yeatman</t>
        </is>
      </c>
      <c r="I384" t="inlineStr">
        <is>
          <t>Estados Unidos</t>
        </is>
      </c>
      <c r="J384" t="inlineStr">
        <is>
          <t>Familiar, Acción, Comedia</t>
        </is>
      </c>
      <c r="M384" s="6" t="n"/>
      <c r="O384" s="24" t="inlineStr"/>
      <c r="Q384" s="25" t="n"/>
      <c r="R384" s="25" t="n"/>
      <c r="S384" s="25" t="n"/>
      <c r="T384" s="25">
        <f>IF(AND(R384="",S384=""),"",N(R384)+N(S384))</f>
        <v/>
      </c>
      <c r="U384" s="25" t="n"/>
      <c r="V384" s="26" t="inlineStr">
        <is>
          <t>IMDb</t>
        </is>
      </c>
      <c r="W384" s="26" t="inlineStr">
        <is>
          <t>FilmAffinity</t>
        </is>
      </c>
      <c r="X384" s="26" t="inlineStr">
        <is>
          <t>Letterboxd</t>
        </is>
      </c>
    </row>
    <row r="385">
      <c r="A385" t="inlineStr">
        <is>
          <t>p0384</t>
        </is>
      </c>
      <c r="B385" t="inlineStr">
        <is>
          <t>Barbie y las tres Mosqueteras</t>
        </is>
      </c>
      <c r="C385" t="inlineStr">
        <is>
          <t>Barbie and the Three Musketeers</t>
        </is>
      </c>
      <c r="D385" s="4" t="n">
        <v>2009</v>
      </c>
      <c r="E385" s="4">
        <f>IF(D385="","",FLOOR(D385,10))</f>
        <v/>
      </c>
      <c r="F385" s="22" t="n">
        <v>78</v>
      </c>
      <c r="G385" s="23" t="n">
        <v>4</v>
      </c>
      <c r="H385" t="inlineStr">
        <is>
          <t>William Lau</t>
        </is>
      </c>
      <c r="I385" t="inlineStr">
        <is>
          <t>Estados Unidos</t>
        </is>
      </c>
      <c r="J385" t="inlineStr">
        <is>
          <t>Animación, Familiar</t>
        </is>
      </c>
      <c r="M385" s="6" t="n"/>
      <c r="O385" s="24" t="inlineStr"/>
      <c r="Q385" s="25" t="n"/>
      <c r="R385" s="25" t="n"/>
      <c r="S385" s="25" t="n"/>
      <c r="T385" s="25">
        <f>IF(AND(R385="",S385=""),"",N(R385)+N(S385))</f>
        <v/>
      </c>
      <c r="U385" s="25" t="n"/>
      <c r="V385" s="26" t="inlineStr">
        <is>
          <t>IMDb</t>
        </is>
      </c>
      <c r="W385" s="26" t="inlineStr">
        <is>
          <t>FilmAffinity</t>
        </is>
      </c>
      <c r="X385" s="26" t="inlineStr">
        <is>
          <t>Letterboxd</t>
        </is>
      </c>
    </row>
    <row r="386">
      <c r="A386" t="inlineStr">
        <is>
          <t>p0385</t>
        </is>
      </c>
      <c r="B386" t="inlineStr">
        <is>
          <t>Spanish Movie</t>
        </is>
      </c>
      <c r="C386" t="inlineStr">
        <is>
          <t>Spanish Movie</t>
        </is>
      </c>
      <c r="D386" s="4" t="n">
        <v>2009</v>
      </c>
      <c r="E386" s="4">
        <f>IF(D386="","",FLOOR(D386,10))</f>
        <v/>
      </c>
      <c r="F386" s="22" t="n">
        <v>89</v>
      </c>
      <c r="G386" s="23" t="n">
        <v>3.9</v>
      </c>
      <c r="H386" t="inlineStr">
        <is>
          <t>Javier Ruiz Caldera</t>
        </is>
      </c>
      <c r="I386" t="inlineStr">
        <is>
          <t>España</t>
        </is>
      </c>
      <c r="J386" t="inlineStr">
        <is>
          <t>Comedia</t>
        </is>
      </c>
      <c r="M386" s="6" t="n"/>
      <c r="O386" s="24" t="inlineStr"/>
      <c r="Q386" s="25" t="n"/>
      <c r="R386" s="25" t="n"/>
      <c r="S386" s="25" t="n"/>
      <c r="T386" s="25">
        <f>IF(AND(R386="",S386=""),"",N(R386)+N(S386))</f>
        <v/>
      </c>
      <c r="U386" s="25" t="n"/>
      <c r="V386" s="26" t="inlineStr">
        <is>
          <t>IMDb</t>
        </is>
      </c>
      <c r="W386" s="26" t="inlineStr">
        <is>
          <t>FilmAffinity</t>
        </is>
      </c>
      <c r="X386" s="26" t="inlineStr">
        <is>
          <t>Letterboxd</t>
        </is>
      </c>
    </row>
    <row r="387">
      <c r="A387" t="inlineStr">
        <is>
          <t>p0386</t>
        </is>
      </c>
      <c r="B387" t="inlineStr">
        <is>
          <t>Mentiras y gordas</t>
        </is>
      </c>
      <c r="C387" t="inlineStr">
        <is>
          <t>Mentiras y gordas</t>
        </is>
      </c>
      <c r="D387" s="4" t="n">
        <v>2009</v>
      </c>
      <c r="E387" s="4">
        <f>IF(D387="","",FLOOR(D387,10))</f>
        <v/>
      </c>
      <c r="F387" s="22" t="n">
        <v>107</v>
      </c>
      <c r="G387" s="23" t="n">
        <v>1</v>
      </c>
      <c r="H387" t="inlineStr">
        <is>
          <t>Alfonso Albacete / David Menkes</t>
        </is>
      </c>
      <c r="I387" t="inlineStr">
        <is>
          <t>España</t>
        </is>
      </c>
      <c r="J387" t="inlineStr">
        <is>
          <t>Drama</t>
        </is>
      </c>
      <c r="M387" s="6" t="n"/>
      <c r="O387" s="24" t="inlineStr"/>
      <c r="Q387" s="25" t="n"/>
      <c r="R387" s="25" t="n"/>
      <c r="S387" s="25" t="n"/>
      <c r="T387" s="25">
        <f>IF(AND(R387="",S387=""),"",N(R387)+N(S387))</f>
        <v/>
      </c>
      <c r="U387" s="25" t="n"/>
      <c r="V387" s="26" t="inlineStr">
        <is>
          <t>IMDb</t>
        </is>
      </c>
      <c r="W387" s="26" t="inlineStr">
        <is>
          <t>FilmAffinity</t>
        </is>
      </c>
      <c r="X387" s="26" t="inlineStr">
        <is>
          <t>Letterboxd</t>
        </is>
      </c>
    </row>
    <row r="388">
      <c r="A388" t="inlineStr">
        <is>
          <t>p0387</t>
        </is>
      </c>
      <c r="B388" t="inlineStr">
        <is>
          <t>El Caballero Oscuro</t>
        </is>
      </c>
      <c r="C388" t="inlineStr">
        <is>
          <t>The Dark Knight</t>
        </is>
      </c>
      <c r="D388" s="4" t="n">
        <v>2008</v>
      </c>
      <c r="E388" s="4">
        <f>IF(D388="","",FLOOR(D388,10))</f>
        <v/>
      </c>
      <c r="F388" s="22" t="n">
        <v>152</v>
      </c>
      <c r="G388" s="23" t="n">
        <v>8.800000000000001</v>
      </c>
      <c r="H388" t="inlineStr">
        <is>
          <t>Christopher Nolan</t>
        </is>
      </c>
      <c r="I388" t="inlineStr">
        <is>
          <t>Estados Unidos</t>
        </is>
      </c>
      <c r="J388" t="inlineStr">
        <is>
          <t>Superhéroes, Crimen, Acción</t>
        </is>
      </c>
      <c r="K388" t="inlineStr">
        <is>
          <t>Batman</t>
        </is>
      </c>
      <c r="M388" s="6" t="n"/>
      <c r="O388" s="24" t="inlineStr"/>
      <c r="Q388" s="25" t="n"/>
      <c r="R388" s="25" t="n"/>
      <c r="S388" s="25" t="n"/>
      <c r="T388" s="25">
        <f>IF(AND(R388="",S388=""),"",N(R388)+N(S388))</f>
        <v/>
      </c>
      <c r="U388" s="25" t="n"/>
      <c r="V388" s="26" t="inlineStr">
        <is>
          <t>IMDb</t>
        </is>
      </c>
      <c r="W388" s="26" t="inlineStr">
        <is>
          <t>FilmAffinity</t>
        </is>
      </c>
      <c r="X388" s="26" t="inlineStr">
        <is>
          <t>Letterboxd</t>
        </is>
      </c>
    </row>
    <row r="389">
      <c r="A389" t="inlineStr">
        <is>
          <t>p0388</t>
        </is>
      </c>
      <c r="B389" t="inlineStr">
        <is>
          <t>WALL•E</t>
        </is>
      </c>
      <c r="C389" t="inlineStr">
        <is>
          <t>WALL-E</t>
        </is>
      </c>
      <c r="D389" s="4" t="n">
        <v>2008</v>
      </c>
      <c r="E389" s="4">
        <f>IF(D389="","",FLOOR(D389,10))</f>
        <v/>
      </c>
      <c r="F389" s="22" t="n">
        <v>103</v>
      </c>
      <c r="G389" s="23" t="n">
        <v>8</v>
      </c>
      <c r="H389" t="inlineStr">
        <is>
          <t>Andrew Stanton</t>
        </is>
      </c>
      <c r="I389" t="inlineStr">
        <is>
          <t>Estados Unidos</t>
        </is>
      </c>
      <c r="J389" t="inlineStr">
        <is>
          <t>Animación, Ciencia ficción, Romance</t>
        </is>
      </c>
      <c r="M389" s="6" t="n"/>
      <c r="O389" s="24" t="inlineStr"/>
      <c r="Q389" s="25" t="n"/>
      <c r="R389" s="25" t="n"/>
      <c r="S389" s="25" t="n"/>
      <c r="T389" s="25">
        <f>IF(AND(R389="",S389=""),"",N(R389)+N(S389))</f>
        <v/>
      </c>
      <c r="U389" s="25" t="n"/>
      <c r="V389" s="26" t="inlineStr">
        <is>
          <t>IMDb</t>
        </is>
      </c>
      <c r="W389" s="26" t="inlineStr">
        <is>
          <t>FilmAffinity</t>
        </is>
      </c>
      <c r="X389" s="26" t="inlineStr">
        <is>
          <t>Letterboxd</t>
        </is>
      </c>
    </row>
    <row r="390">
      <c r="A390" t="inlineStr">
        <is>
          <t>p0389</t>
        </is>
      </c>
      <c r="B390" t="inlineStr">
        <is>
          <t>Gran Torino</t>
        </is>
      </c>
      <c r="C390" t="inlineStr">
        <is>
          <t>Gran Torino</t>
        </is>
      </c>
      <c r="D390" s="4" t="n">
        <v>2008</v>
      </c>
      <c r="E390" s="4">
        <f>IF(D390="","",FLOOR(D390,10))</f>
        <v/>
      </c>
      <c r="F390" s="22" t="n">
        <v>119</v>
      </c>
      <c r="G390" s="23" t="n">
        <v>7.7</v>
      </c>
      <c r="H390" t="inlineStr">
        <is>
          <t>Clint Eastwood</t>
        </is>
      </c>
      <c r="I390" t="inlineStr">
        <is>
          <t>Estados Unidos</t>
        </is>
      </c>
      <c r="J390" t="inlineStr">
        <is>
          <t>Drama</t>
        </is>
      </c>
      <c r="M390" s="6" t="n"/>
      <c r="O390" s="24" t="inlineStr"/>
      <c r="Q390" s="25" t="n"/>
      <c r="R390" s="25" t="n"/>
      <c r="S390" s="25" t="n"/>
      <c r="T390" s="25">
        <f>IF(AND(R390="",S390=""),"",N(R390)+N(S390))</f>
        <v/>
      </c>
      <c r="U390" s="25" t="n"/>
      <c r="V390" s="26" t="inlineStr">
        <is>
          <t>IMDb</t>
        </is>
      </c>
      <c r="W390" s="26" t="inlineStr">
        <is>
          <t>FilmAffinity</t>
        </is>
      </c>
      <c r="X390" s="26" t="inlineStr">
        <is>
          <t>Letterboxd</t>
        </is>
      </c>
    </row>
    <row r="391">
      <c r="A391" t="inlineStr">
        <is>
          <t>p0390</t>
        </is>
      </c>
      <c r="B391" t="inlineStr">
        <is>
          <t>La ola</t>
        </is>
      </c>
      <c r="C391" t="inlineStr">
        <is>
          <t>The Wave</t>
        </is>
      </c>
      <c r="D391" s="4" t="n">
        <v>2008</v>
      </c>
      <c r="E391" s="4">
        <f>IF(D391="","",FLOOR(D391,10))</f>
        <v/>
      </c>
      <c r="F391" s="22" t="n">
        <v>110</v>
      </c>
      <c r="G391" s="23" t="n">
        <v>7.4</v>
      </c>
      <c r="H391" t="inlineStr">
        <is>
          <t>Dennis Gansel</t>
        </is>
      </c>
      <c r="I391" t="inlineStr">
        <is>
          <t>Alemania</t>
        </is>
      </c>
      <c r="J391" t="inlineStr">
        <is>
          <t>Drama, Thriller</t>
        </is>
      </c>
      <c r="M391" s="6" t="n"/>
      <c r="O391" s="24" t="inlineStr"/>
      <c r="Q391" s="25" t="n"/>
      <c r="R391" s="25" t="n"/>
      <c r="S391" s="25" t="n"/>
      <c r="T391" s="25">
        <f>IF(AND(R391="",S391=""),"",N(R391)+N(S391))</f>
        <v/>
      </c>
      <c r="U391" s="25" t="n"/>
      <c r="V391" s="26" t="inlineStr">
        <is>
          <t>IMDb</t>
        </is>
      </c>
      <c r="W391" s="26" t="inlineStr">
        <is>
          <t>FilmAffinity</t>
        </is>
      </c>
      <c r="X391" s="26" t="inlineStr">
        <is>
          <t>Letterboxd</t>
        </is>
      </c>
    </row>
    <row r="392">
      <c r="A392" t="inlineStr">
        <is>
          <t>p0391</t>
        </is>
      </c>
      <c r="B392" t="inlineStr">
        <is>
          <t>Camino</t>
        </is>
      </c>
      <c r="C392" t="inlineStr">
        <is>
          <t>Camino</t>
        </is>
      </c>
      <c r="D392" s="4" t="n">
        <v>2008</v>
      </c>
      <c r="E392" s="4">
        <f>IF(D392="","",FLOOR(D392,10))</f>
        <v/>
      </c>
      <c r="F392" s="22" t="n">
        <v>143</v>
      </c>
      <c r="G392" s="23" t="n">
        <v>7</v>
      </c>
      <c r="H392" t="inlineStr">
        <is>
          <t>Javier Fesser</t>
        </is>
      </c>
      <c r="I392" t="inlineStr">
        <is>
          <t>España</t>
        </is>
      </c>
      <c r="J392" t="inlineStr">
        <is>
          <t>Drama</t>
        </is>
      </c>
      <c r="M392" s="6" t="n"/>
      <c r="O392" s="24" t="inlineStr"/>
      <c r="Q392" s="25" t="n"/>
      <c r="R392" s="25" t="n"/>
      <c r="S392" s="25" t="n"/>
      <c r="T392" s="25">
        <f>IF(AND(R392="",S392=""),"",N(R392)+N(S392))</f>
        <v/>
      </c>
      <c r="U392" s="25" t="n"/>
      <c r="V392" s="26" t="inlineStr">
        <is>
          <t>IMDb</t>
        </is>
      </c>
      <c r="W392" s="26" t="inlineStr">
        <is>
          <t>FilmAffinity</t>
        </is>
      </c>
      <c r="X392" s="26" t="inlineStr">
        <is>
          <t>Letterboxd</t>
        </is>
      </c>
    </row>
    <row r="393">
      <c r="A393" t="inlineStr">
        <is>
          <t>p0392</t>
        </is>
      </c>
      <c r="B393" t="inlineStr">
        <is>
          <t>Iron Man</t>
        </is>
      </c>
      <c r="C393" t="inlineStr">
        <is>
          <t>Iron Man</t>
        </is>
      </c>
      <c r="D393" s="4" t="n">
        <v>2008</v>
      </c>
      <c r="E393" s="4">
        <f>IF(D393="","",FLOOR(D393,10))</f>
        <v/>
      </c>
      <c r="F393" s="22" t="n">
        <v>126</v>
      </c>
      <c r="G393" s="23" t="n">
        <v>6.8</v>
      </c>
      <c r="H393" t="inlineStr">
        <is>
          <t>Jon Favreau</t>
        </is>
      </c>
      <c r="I393" t="inlineStr">
        <is>
          <t>Estados Unidos</t>
        </is>
      </c>
      <c r="J393" t="inlineStr">
        <is>
          <t>Superhéroes, Acción</t>
        </is>
      </c>
      <c r="K393" t="inlineStr">
        <is>
          <t>UCM</t>
        </is>
      </c>
      <c r="L393" t="inlineStr">
        <is>
          <t>Fase 1 · Saga del Infinito</t>
        </is>
      </c>
      <c r="M393" s="6" t="n"/>
      <c r="O393" s="24" t="inlineStr"/>
      <c r="Q393" s="25" t="n">
        <v>98618668</v>
      </c>
      <c r="R393" s="25" t="n">
        <v>319034126</v>
      </c>
      <c r="S393" s="25" t="n">
        <v>266762121</v>
      </c>
      <c r="T393" s="25">
        <f>IF(AND(R393="",S393=""),"",N(R393)+N(S393))</f>
        <v/>
      </c>
      <c r="U393" s="25" t="n">
        <v>140000000</v>
      </c>
      <c r="V393" s="26" t="inlineStr">
        <is>
          <t>IMDb</t>
        </is>
      </c>
    </row>
    <row r="394">
      <c r="A394" t="inlineStr">
        <is>
          <t>p0393</t>
        </is>
      </c>
      <c r="B394" t="inlineStr">
        <is>
          <t>Crepúsculo</t>
        </is>
      </c>
      <c r="C394" t="inlineStr">
        <is>
          <t>Twilight</t>
        </is>
      </c>
      <c r="D394" s="4" t="n">
        <v>2008</v>
      </c>
      <c r="E394" s="4">
        <f>IF(D394="","",FLOOR(D394,10))</f>
        <v/>
      </c>
      <c r="F394" s="22" t="n">
        <v>122</v>
      </c>
      <c r="G394" s="23" t="n">
        <v>5.7</v>
      </c>
      <c r="H394" t="inlineStr">
        <is>
          <t>Catherine Hardwicke</t>
        </is>
      </c>
      <c r="I394" t="inlineStr">
        <is>
          <t>Estados Unidos</t>
        </is>
      </c>
      <c r="J394" t="inlineStr">
        <is>
          <t>Romance, Fantasía</t>
        </is>
      </c>
      <c r="K394" t="inlineStr">
        <is>
          <t>Crepúsculo</t>
        </is>
      </c>
      <c r="M394" s="6" t="n"/>
      <c r="O394" s="24" t="inlineStr"/>
      <c r="Q394" s="25" t="n">
        <v>69637740</v>
      </c>
      <c r="R394" s="25" t="n">
        <v>195553813</v>
      </c>
      <c r="S394" s="25" t="n">
        <v>204478984</v>
      </c>
      <c r="T394" s="25">
        <f>IF(AND(R394="",S394=""),"",N(R394)+N(S394))</f>
        <v/>
      </c>
      <c r="U394" s="25" t="n"/>
      <c r="V394" s="26" t="inlineStr">
        <is>
          <t>IMDb</t>
        </is>
      </c>
      <c r="W394" s="26" t="inlineStr">
        <is>
          <t>FilmAffinity</t>
        </is>
      </c>
      <c r="X394" s="26" t="inlineStr">
        <is>
          <t>Letterboxd</t>
        </is>
      </c>
    </row>
    <row r="395">
      <c r="A395" t="inlineStr">
        <is>
          <t>p0394</t>
        </is>
      </c>
      <c r="B395" t="inlineStr">
        <is>
          <t>Madagascar 2</t>
        </is>
      </c>
      <c r="C395" t="inlineStr">
        <is>
          <t>Madagascar: Escape 2 Africa</t>
        </is>
      </c>
      <c r="D395" s="4" t="n">
        <v>2008</v>
      </c>
      <c r="E395" s="4">
        <f>IF(D395="","",FLOOR(D395,10))</f>
        <v/>
      </c>
      <c r="F395" s="22" t="n">
        <v>89</v>
      </c>
      <c r="G395" s="23" t="n">
        <v>5.7</v>
      </c>
      <c r="H395" t="inlineStr">
        <is>
          <t>Eric Darnell / Tom McGrath</t>
        </is>
      </c>
      <c r="I395" t="inlineStr">
        <is>
          <t>Estados Unidos</t>
        </is>
      </c>
      <c r="J395" t="inlineStr">
        <is>
          <t>Animación, Comedia, Familiar</t>
        </is>
      </c>
      <c r="K395" t="inlineStr">
        <is>
          <t>Madagascar</t>
        </is>
      </c>
      <c r="M395" s="6" t="n"/>
      <c r="O395" s="24" t="inlineStr"/>
      <c r="Q395" s="25" t="n"/>
      <c r="R395" s="25" t="n"/>
      <c r="S395" s="25" t="n"/>
      <c r="T395" s="25">
        <f>IF(AND(R395="",S395=""),"",N(R395)+N(S395))</f>
        <v/>
      </c>
      <c r="U395" s="25" t="n"/>
      <c r="V395" s="26" t="inlineStr">
        <is>
          <t>IMDb</t>
        </is>
      </c>
      <c r="W395" s="26" t="inlineStr">
        <is>
          <t>FilmAffinity</t>
        </is>
      </c>
      <c r="X395" s="26" t="inlineStr">
        <is>
          <t>Letterboxd</t>
        </is>
      </c>
    </row>
    <row r="396">
      <c r="A396" t="inlineStr">
        <is>
          <t>p0395</t>
        </is>
      </c>
      <c r="B396" t="inlineStr">
        <is>
          <t>Kung Fu Panda</t>
        </is>
      </c>
      <c r="C396" t="inlineStr">
        <is>
          <t>Kung Fu Panda</t>
        </is>
      </c>
      <c r="D396" s="4" t="n">
        <v>2008</v>
      </c>
      <c r="E396" s="4">
        <f>IF(D396="","",FLOOR(D396,10))</f>
        <v/>
      </c>
      <c r="F396" s="22" t="n">
        <v>95</v>
      </c>
      <c r="G396" s="23" t="n">
        <v>5.6</v>
      </c>
      <c r="H396" t="inlineStr">
        <is>
          <t>Mark Osborne / John Stevenson</t>
        </is>
      </c>
      <c r="I396" t="inlineStr">
        <is>
          <t>Estados Unidos</t>
        </is>
      </c>
      <c r="J396" t="inlineStr">
        <is>
          <t>Animación, Acción, Comedia</t>
        </is>
      </c>
      <c r="M396" s="6" t="n"/>
      <c r="O396" s="24" t="inlineStr"/>
      <c r="Q396" s="25" t="n"/>
      <c r="R396" s="25" t="n"/>
      <c r="S396" s="25" t="n"/>
      <c r="T396" s="25">
        <f>IF(AND(R396="",S396=""),"",N(R396)+N(S396))</f>
        <v/>
      </c>
      <c r="U396" s="25" t="n"/>
      <c r="V396" s="26" t="inlineStr">
        <is>
          <t>IMDb</t>
        </is>
      </c>
      <c r="W396" s="26" t="inlineStr">
        <is>
          <t>FilmAffinity</t>
        </is>
      </c>
      <c r="X396" s="26" t="inlineStr">
        <is>
          <t>Letterboxd</t>
        </is>
      </c>
    </row>
    <row r="397">
      <c r="A397" t="inlineStr">
        <is>
          <t>p0396</t>
        </is>
      </c>
      <c r="B397" t="inlineStr">
        <is>
          <t>Mamma Mia!</t>
        </is>
      </c>
      <c r="C397" t="inlineStr">
        <is>
          <t>Mamma Mia!</t>
        </is>
      </c>
      <c r="D397" s="4" t="n">
        <v>2008</v>
      </c>
      <c r="E397" s="4">
        <f>IF(D397="","",FLOOR(D397,10))</f>
        <v/>
      </c>
      <c r="F397" s="22" t="n">
        <v>108</v>
      </c>
      <c r="G397" s="23" t="n">
        <v>5</v>
      </c>
      <c r="H397" t="inlineStr">
        <is>
          <t>Phyllida Lloyd</t>
        </is>
      </c>
      <c r="I397" t="inlineStr">
        <is>
          <t>Reino Unido</t>
        </is>
      </c>
      <c r="J397" t="inlineStr">
        <is>
          <t>Musical, Comedia, Romance</t>
        </is>
      </c>
      <c r="M397" s="6" t="n"/>
      <c r="O397" s="24" t="inlineStr"/>
      <c r="Q397" s="25" t="n"/>
      <c r="R397" s="25" t="n"/>
      <c r="S397" s="25" t="n"/>
      <c r="T397" s="25">
        <f>IF(AND(R397="",S397=""),"",N(R397)+N(S397))</f>
        <v/>
      </c>
      <c r="U397" s="25" t="n"/>
      <c r="V397" s="26" t="inlineStr">
        <is>
          <t>IMDb</t>
        </is>
      </c>
      <c r="W397" s="26" t="inlineStr">
        <is>
          <t>FilmAffinity</t>
        </is>
      </c>
      <c r="X397" s="26" t="inlineStr">
        <is>
          <t>Letterboxd</t>
        </is>
      </c>
    </row>
    <row r="398">
      <c r="A398" t="inlineStr">
        <is>
          <t>p0397</t>
        </is>
      </c>
      <c r="B398" t="inlineStr">
        <is>
          <t>El Increíble Hulk</t>
        </is>
      </c>
      <c r="C398" t="inlineStr">
        <is>
          <t>The Incredible Hulk</t>
        </is>
      </c>
      <c r="D398" s="4" t="n">
        <v>2008</v>
      </c>
      <c r="E398" s="4">
        <f>IF(D398="","",FLOOR(D398,10))</f>
        <v/>
      </c>
      <c r="F398" s="22" t="n">
        <v>114</v>
      </c>
      <c r="G398" s="23" t="n">
        <v>4.9</v>
      </c>
      <c r="H398" t="inlineStr">
        <is>
          <t>Louis Leterrier</t>
        </is>
      </c>
      <c r="I398" t="inlineStr">
        <is>
          <t>Estados Unidos</t>
        </is>
      </c>
      <c r="J398" t="inlineStr">
        <is>
          <t>Superhéroes, Acción</t>
        </is>
      </c>
      <c r="K398" t="inlineStr">
        <is>
          <t>UCM</t>
        </is>
      </c>
      <c r="L398" t="inlineStr">
        <is>
          <t>Fase 1 · Saga del Infinito</t>
        </is>
      </c>
      <c r="M398" s="6" t="n"/>
      <c r="O398" s="24" t="inlineStr"/>
      <c r="Q398" s="25" t="n">
        <v>55414050</v>
      </c>
      <c r="R398" s="25" t="n">
        <v>134806913</v>
      </c>
      <c r="S398" s="25" t="n">
        <v>129964083</v>
      </c>
      <c r="T398" s="25">
        <f>IF(AND(R398="",S398=""),"",N(R398)+N(S398))</f>
        <v/>
      </c>
      <c r="U398" s="25" t="n">
        <v>150000000</v>
      </c>
      <c r="V398" s="26" t="inlineStr">
        <is>
          <t>IMDb</t>
        </is>
      </c>
    </row>
    <row r="399">
      <c r="A399" t="inlineStr">
        <is>
          <t>p0398</t>
        </is>
      </c>
      <c r="B399" t="inlineStr">
        <is>
          <t>REC</t>
        </is>
      </c>
      <c r="C399" t="inlineStr">
        <is>
          <t>REC</t>
        </is>
      </c>
      <c r="D399" s="4" t="n">
        <v>2007</v>
      </c>
      <c r="E399" s="4">
        <f>IF(D399="","",FLOOR(D399,10))</f>
        <v/>
      </c>
      <c r="F399" s="22" t="n">
        <v>76</v>
      </c>
      <c r="G399" s="23" t="n">
        <v>8.5</v>
      </c>
      <c r="H399" t="inlineStr">
        <is>
          <t>Jaume Balagueró / Paco Plaza</t>
        </is>
      </c>
      <c r="I399" t="inlineStr">
        <is>
          <t>España</t>
        </is>
      </c>
      <c r="J399" t="inlineStr">
        <is>
          <t>Terror</t>
        </is>
      </c>
      <c r="K399" t="inlineStr">
        <is>
          <t>REC</t>
        </is>
      </c>
      <c r="M399" s="6" t="n"/>
      <c r="O399" s="24" t="inlineStr"/>
      <c r="Q399" s="25" t="n"/>
      <c r="R399" s="25" t="n">
        <v>9329033</v>
      </c>
      <c r="S399" s="25" t="n"/>
      <c r="T399" s="25">
        <f>IF(AND(R399="",S399=""),"",N(R399)+N(S399))</f>
        <v/>
      </c>
      <c r="U399" s="25" t="n"/>
      <c r="V399" s="26" t="inlineStr">
        <is>
          <t>IMDb</t>
        </is>
      </c>
      <c r="W399" s="26" t="inlineStr">
        <is>
          <t>FilmAffinity</t>
        </is>
      </c>
      <c r="X399" s="26" t="inlineStr">
        <is>
          <t>Letterboxd</t>
        </is>
      </c>
    </row>
    <row r="400">
      <c r="A400" t="inlineStr">
        <is>
          <t>p0399</t>
        </is>
      </c>
      <c r="B400" t="inlineStr">
        <is>
          <t>Lars y una Chica de Verdad</t>
        </is>
      </c>
      <c r="C400" t="inlineStr">
        <is>
          <t>Lars and the Real Girl</t>
        </is>
      </c>
      <c r="D400" s="4" t="n">
        <v>2007</v>
      </c>
      <c r="E400" s="4">
        <f>IF(D400="","",FLOOR(D400,10))</f>
        <v/>
      </c>
      <c r="F400" s="22" t="n">
        <v>106</v>
      </c>
      <c r="G400" s="23" t="n">
        <v>7.8</v>
      </c>
      <c r="H400" t="inlineStr">
        <is>
          <t>Craig Gillespie</t>
        </is>
      </c>
      <c r="I400" t="inlineStr">
        <is>
          <t>Estados Unidos</t>
        </is>
      </c>
      <c r="J400" t="inlineStr">
        <is>
          <t>Comedia, Drama, Romance</t>
        </is>
      </c>
      <c r="M400" s="6" t="n"/>
      <c r="O400" s="24" t="inlineStr"/>
      <c r="Q400" s="25" t="n">
        <v>90418</v>
      </c>
      <c r="R400" s="25" t="n">
        <v>5972884</v>
      </c>
      <c r="S400" s="25" t="n">
        <v>5320779</v>
      </c>
      <c r="T400" s="25">
        <f>IF(AND(R400="",S400=""),"",N(R400)+N(S400))</f>
        <v/>
      </c>
      <c r="U400" s="25" t="n"/>
      <c r="V400" s="26" t="inlineStr">
        <is>
          <t>IMDb</t>
        </is>
      </c>
      <c r="W400" s="26" t="inlineStr">
        <is>
          <t>FilmAffinity</t>
        </is>
      </c>
      <c r="X400" s="26" t="inlineStr">
        <is>
          <t>Letterboxd</t>
        </is>
      </c>
    </row>
    <row r="401">
      <c r="A401" t="inlineStr">
        <is>
          <t>p0400</t>
        </is>
      </c>
      <c r="B401" t="inlineStr">
        <is>
          <t>Zodiac</t>
        </is>
      </c>
      <c r="C401" t="inlineStr">
        <is>
          <t>Zodiac</t>
        </is>
      </c>
      <c r="D401" s="4" t="n">
        <v>2007</v>
      </c>
      <c r="E401" s="4">
        <f>IF(D401="","",FLOOR(D401,10))</f>
        <v/>
      </c>
      <c r="F401" s="22" t="n">
        <v>158</v>
      </c>
      <c r="G401" s="23" t="n">
        <v>6.9</v>
      </c>
      <c r="H401" t="inlineStr">
        <is>
          <t>David Fincher</t>
        </is>
      </c>
      <c r="I401" t="inlineStr">
        <is>
          <t>Estados Unidos</t>
        </is>
      </c>
      <c r="J401" t="inlineStr">
        <is>
          <t>Thriller, Crimen, Misterio</t>
        </is>
      </c>
      <c r="M401" s="6" t="n"/>
      <c r="O401" s="24" t="inlineStr"/>
      <c r="Q401" s="25" t="n">
        <v>13395610</v>
      </c>
      <c r="R401" s="25" t="n">
        <v>33080084</v>
      </c>
      <c r="S401" s="25" t="n">
        <v>51705830</v>
      </c>
      <c r="T401" s="25">
        <f>IF(AND(R401="",S401=""),"",N(R401)+N(S401))</f>
        <v/>
      </c>
      <c r="U401" s="25" t="n"/>
      <c r="V401" s="26" t="inlineStr">
        <is>
          <t>IMDb</t>
        </is>
      </c>
      <c r="W401" s="26" t="inlineStr">
        <is>
          <t>FilmAffinity</t>
        </is>
      </c>
      <c r="X401" s="26" t="inlineStr">
        <is>
          <t>Letterboxd</t>
        </is>
      </c>
    </row>
    <row r="402">
      <c r="A402" t="inlineStr">
        <is>
          <t>p0401</t>
        </is>
      </c>
      <c r="B402" t="inlineStr">
        <is>
          <t>Soy leyenda</t>
        </is>
      </c>
      <c r="C402" t="inlineStr">
        <is>
          <t>I Am Legend</t>
        </is>
      </c>
      <c r="D402" s="4" t="n">
        <v>2007</v>
      </c>
      <c r="E402" s="4">
        <f>IF(D402="","",FLOOR(D402,10))</f>
        <v/>
      </c>
      <c r="F402" s="22" t="n">
        <v>100</v>
      </c>
      <c r="G402" s="23" t="n">
        <v>6.8</v>
      </c>
      <c r="H402" t="inlineStr">
        <is>
          <t>Francis Lawrence</t>
        </is>
      </c>
      <c r="I402" t="inlineStr">
        <is>
          <t>Estados Unidos</t>
        </is>
      </c>
      <c r="J402" t="inlineStr">
        <is>
          <t>Ciencia ficción, Terror, Drama</t>
        </is>
      </c>
      <c r="M402" s="6" t="n"/>
      <c r="O402" s="24" t="inlineStr"/>
      <c r="Q402" s="25" t="n">
        <v>77211321</v>
      </c>
      <c r="R402" s="25" t="n">
        <v>256393010</v>
      </c>
      <c r="S402" s="25" t="n">
        <v>329105732</v>
      </c>
      <c r="T402" s="25">
        <f>IF(AND(R402="",S402=""),"",N(R402)+N(S402))</f>
        <v/>
      </c>
      <c r="U402" s="25" t="n"/>
      <c r="V402" s="26" t="inlineStr">
        <is>
          <t>IMDb</t>
        </is>
      </c>
      <c r="W402" s="26" t="inlineStr">
        <is>
          <t>FilmAffinity</t>
        </is>
      </c>
      <c r="X402" s="26" t="inlineStr">
        <is>
          <t>Letterboxd</t>
        </is>
      </c>
    </row>
    <row r="403">
      <c r="A403" t="inlineStr">
        <is>
          <t>p0402</t>
        </is>
      </c>
      <c r="B403" t="inlineStr">
        <is>
          <t>Ratatouille</t>
        </is>
      </c>
      <c r="C403" t="inlineStr">
        <is>
          <t>Ratatouille</t>
        </is>
      </c>
      <c r="D403" s="4" t="n">
        <v>2007</v>
      </c>
      <c r="E403" s="4">
        <f>IF(D403="","",FLOOR(D403,10))</f>
        <v/>
      </c>
      <c r="F403" s="22" t="n">
        <v>110</v>
      </c>
      <c r="G403" s="23" t="n">
        <v>6.6</v>
      </c>
      <c r="H403" t="inlineStr">
        <is>
          <t>Brad Bird</t>
        </is>
      </c>
      <c r="I403" t="inlineStr">
        <is>
          <t>Estados Unidos</t>
        </is>
      </c>
      <c r="J403" t="inlineStr">
        <is>
          <t>Animación, Comedia, Familiar</t>
        </is>
      </c>
      <c r="M403" s="6" t="n"/>
      <c r="O403" s="24" t="inlineStr"/>
      <c r="Q403" s="25" t="n">
        <v>33052411</v>
      </c>
      <c r="R403" s="25" t="n">
        <v>121463226</v>
      </c>
      <c r="S403" s="25" t="n">
        <v>48601521</v>
      </c>
      <c r="T403" s="25">
        <f>IF(AND(R403="",S403=""),"",N(R403)+N(S403))</f>
        <v/>
      </c>
      <c r="U403" s="25" t="n"/>
      <c r="V403" s="26" t="inlineStr">
        <is>
          <t>IMDb</t>
        </is>
      </c>
      <c r="W403" s="26" t="inlineStr">
        <is>
          <t>FilmAffinity</t>
        </is>
      </c>
      <c r="X403" s="26" t="inlineStr">
        <is>
          <t>Letterboxd</t>
        </is>
      </c>
    </row>
    <row r="404">
      <c r="A404" t="inlineStr">
        <is>
          <t>p0403</t>
        </is>
      </c>
      <c r="B404" t="inlineStr">
        <is>
          <t>Supersalidos</t>
        </is>
      </c>
      <c r="C404" t="inlineStr">
        <is>
          <t>Superbad</t>
        </is>
      </c>
      <c r="D404" s="4" t="n">
        <v>2007</v>
      </c>
      <c r="E404" s="4">
        <f>IF(D404="","",FLOOR(D404,10))</f>
        <v/>
      </c>
      <c r="F404" s="22" t="n">
        <v>114</v>
      </c>
      <c r="G404" s="23" t="n">
        <v>6.6</v>
      </c>
      <c r="H404" t="inlineStr">
        <is>
          <t>Greg Mottola</t>
        </is>
      </c>
      <c r="I404" t="inlineStr">
        <is>
          <t>Estados Unidos</t>
        </is>
      </c>
      <c r="J404" t="inlineStr">
        <is>
          <t>Comedia</t>
        </is>
      </c>
      <c r="M404" s="6" t="n"/>
      <c r="O404" s="24" t="inlineStr"/>
      <c r="Q404" s="25" t="n"/>
      <c r="R404" s="25" t="n"/>
      <c r="S404" s="25" t="n"/>
      <c r="T404" s="25">
        <f>IF(AND(R404="",S404=""),"",N(R404)+N(S404))</f>
        <v/>
      </c>
      <c r="U404" s="25" t="n"/>
      <c r="V404" s="26" t="inlineStr">
        <is>
          <t>IMDb</t>
        </is>
      </c>
      <c r="W404" s="26" t="inlineStr">
        <is>
          <t>FilmAffinity</t>
        </is>
      </c>
      <c r="X404" s="26" t="inlineStr">
        <is>
          <t>Letterboxd</t>
        </is>
      </c>
    </row>
    <row r="405">
      <c r="A405" t="inlineStr">
        <is>
          <t>p0404</t>
        </is>
      </c>
      <c r="B405" t="inlineStr">
        <is>
          <t>La Guerra de Charlie Wilson</t>
        </is>
      </c>
      <c r="C405" t="inlineStr">
        <is>
          <t>Charlie Wilson's War</t>
        </is>
      </c>
      <c r="D405" s="4" t="n">
        <v>2007</v>
      </c>
      <c r="E405" s="4">
        <f>IF(D405="","",FLOOR(D405,10))</f>
        <v/>
      </c>
      <c r="F405" s="22" t="n">
        <v>97</v>
      </c>
      <c r="G405" s="23" t="n">
        <v>6.6</v>
      </c>
      <c r="H405" t="inlineStr">
        <is>
          <t>Mike Nichols</t>
        </is>
      </c>
      <c r="I405" t="inlineStr">
        <is>
          <t>Estados Unidos</t>
        </is>
      </c>
      <c r="J405" t="inlineStr">
        <is>
          <t>Biográfico, Comedia, Drama</t>
        </is>
      </c>
      <c r="M405" s="6" t="n"/>
      <c r="O405" s="24" t="inlineStr"/>
      <c r="Q405" s="25" t="n"/>
      <c r="R405" s="25" t="n"/>
      <c r="S405" s="25" t="n"/>
      <c r="T405" s="25">
        <f>IF(AND(R405="",S405=""),"",N(R405)+N(S405))</f>
        <v/>
      </c>
      <c r="U405" s="25" t="n"/>
      <c r="V405" s="26" t="inlineStr">
        <is>
          <t>IMDb</t>
        </is>
      </c>
      <c r="W405" s="26" t="inlineStr">
        <is>
          <t>FilmAffinity</t>
        </is>
      </c>
      <c r="X405" s="26" t="inlineStr">
        <is>
          <t>Letterboxd</t>
        </is>
      </c>
    </row>
    <row r="406">
      <c r="A406" t="inlineStr">
        <is>
          <t>p0405</t>
        </is>
      </c>
      <c r="B406" t="inlineStr">
        <is>
          <t>Juno</t>
        </is>
      </c>
      <c r="C406" t="inlineStr">
        <is>
          <t>Juno</t>
        </is>
      </c>
      <c r="D406" s="4" t="n">
        <v>2007</v>
      </c>
      <c r="E406" s="4">
        <f>IF(D406="","",FLOOR(D406,10))</f>
        <v/>
      </c>
      <c r="F406" s="22" t="n">
        <v>92</v>
      </c>
      <c r="G406" s="23" t="n">
        <v>6.5</v>
      </c>
      <c r="H406" t="inlineStr">
        <is>
          <t>Jason Reitman</t>
        </is>
      </c>
      <c r="I406" t="inlineStr">
        <is>
          <t>Estados Unidos</t>
        </is>
      </c>
      <c r="J406" t="inlineStr">
        <is>
          <t>Comedia, Drama</t>
        </is>
      </c>
      <c r="M406" s="6" t="n"/>
      <c r="O406" s="24" t="inlineStr"/>
      <c r="Q406" s="25" t="n"/>
      <c r="R406" s="25" t="n"/>
      <c r="S406" s="25" t="n"/>
      <c r="T406" s="25">
        <f>IF(AND(R406="",S406=""),"",N(R406)+N(S406))</f>
        <v/>
      </c>
      <c r="U406" s="25" t="n"/>
      <c r="V406" s="26" t="inlineStr">
        <is>
          <t>IMDb</t>
        </is>
      </c>
      <c r="W406" s="26" t="inlineStr">
        <is>
          <t>FilmAffinity</t>
        </is>
      </c>
      <c r="X406" s="26" t="inlineStr">
        <is>
          <t>Letterboxd</t>
        </is>
      </c>
    </row>
    <row r="407">
      <c r="A407" t="inlineStr">
        <is>
          <t>p0406</t>
        </is>
      </c>
      <c r="B407" t="inlineStr">
        <is>
          <t>Spider-Man 3</t>
        </is>
      </c>
      <c r="C407" t="inlineStr">
        <is>
          <t>Spider-Man 3</t>
        </is>
      </c>
      <c r="D407" s="4" t="n">
        <v>2007</v>
      </c>
      <c r="E407" s="4">
        <f>IF(D407="","",FLOOR(D407,10))</f>
        <v/>
      </c>
      <c r="F407" s="22" t="n">
        <v>140</v>
      </c>
      <c r="G407" s="23" t="n">
        <v>5.7</v>
      </c>
      <c r="H407" t="inlineStr">
        <is>
          <t>Sam Raimi</t>
        </is>
      </c>
      <c r="I407" t="inlineStr">
        <is>
          <t>Estados Unidos</t>
        </is>
      </c>
      <c r="J407" t="inlineStr">
        <is>
          <t>Superhéroes, Acción</t>
        </is>
      </c>
      <c r="K407" t="inlineStr">
        <is>
          <t>Spider-Man</t>
        </is>
      </c>
      <c r="M407" s="6" t="n"/>
      <c r="O407" s="24" t="inlineStr"/>
      <c r="Q407" s="25" t="n">
        <v>151116516</v>
      </c>
      <c r="R407" s="25" t="n">
        <v>338032318</v>
      </c>
      <c r="S407" s="25" t="n">
        <v>549325104</v>
      </c>
      <c r="T407" s="25">
        <f>IF(AND(R407="",S407=""),"",N(R407)+N(S407))</f>
        <v/>
      </c>
      <c r="U407" s="25" t="n"/>
      <c r="V407" s="26" t="inlineStr">
        <is>
          <t>IMDb</t>
        </is>
      </c>
    </row>
    <row r="408">
      <c r="A408" t="inlineStr">
        <is>
          <t>p0407</t>
        </is>
      </c>
      <c r="B408" t="inlineStr">
        <is>
          <t>La habitación de Fermat</t>
        </is>
      </c>
      <c r="C408" t="inlineStr">
        <is>
          <t>La habitación de Fermat</t>
        </is>
      </c>
      <c r="D408" s="4" t="n">
        <v>2007</v>
      </c>
      <c r="E408" s="4">
        <f>IF(D408="","",FLOOR(D408,10))</f>
        <v/>
      </c>
      <c r="F408" s="22" t="n">
        <v>87</v>
      </c>
      <c r="G408" s="23" t="n">
        <v>5.7</v>
      </c>
      <c r="H408" t="inlineStr">
        <is>
          <t>Luis Piedrahita / Rodrigo Sopeña</t>
        </is>
      </c>
      <c r="I408" t="inlineStr">
        <is>
          <t>España</t>
        </is>
      </c>
      <c r="J408" t="inlineStr">
        <is>
          <t>Thriller, Misterio</t>
        </is>
      </c>
      <c r="M408" s="6" t="n"/>
      <c r="O408" s="24" t="inlineStr"/>
      <c r="Q408" s="25" t="n"/>
      <c r="R408" s="25" t="n"/>
      <c r="S408" s="25" t="n"/>
      <c r="T408" s="25">
        <f>IF(AND(R408="",S408=""),"",N(R408)+N(S408))</f>
        <v/>
      </c>
      <c r="U408" s="25" t="n"/>
      <c r="V408" s="26" t="inlineStr">
        <is>
          <t>IMDb</t>
        </is>
      </c>
      <c r="W408" s="26" t="inlineStr">
        <is>
          <t>FilmAffinity</t>
        </is>
      </c>
      <c r="X408" s="26" t="inlineStr">
        <is>
          <t>Letterboxd</t>
        </is>
      </c>
    </row>
    <row r="409">
      <c r="A409" t="inlineStr">
        <is>
          <t>p0408</t>
        </is>
      </c>
      <c r="B409" t="inlineStr">
        <is>
          <t>Los 4 Fantásticos y Silver Surfer</t>
        </is>
      </c>
      <c r="C409" t="inlineStr">
        <is>
          <t>Fantastic Four: Rise of the Silver Surfer</t>
        </is>
      </c>
      <c r="D409" s="4" t="n">
        <v>2007</v>
      </c>
      <c r="E409" s="4">
        <f>IF(D409="","",FLOOR(D409,10))</f>
        <v/>
      </c>
      <c r="F409" s="22" t="n">
        <v>95</v>
      </c>
      <c r="G409" s="23" t="n">
        <v>5.3</v>
      </c>
      <c r="H409" t="inlineStr">
        <is>
          <t>Tim Story</t>
        </is>
      </c>
      <c r="I409" t="inlineStr">
        <is>
          <t>Estados Unidos</t>
        </is>
      </c>
      <c r="J409" t="inlineStr">
        <is>
          <t>Superhéroes, Acción</t>
        </is>
      </c>
      <c r="K409" t="inlineStr">
        <is>
          <t>Los 4 Fantásticos (2005)</t>
        </is>
      </c>
      <c r="M409" s="6" t="n"/>
      <c r="O409" s="24" t="inlineStr"/>
      <c r="Q409" s="25" t="n">
        <v>58051684</v>
      </c>
      <c r="R409" s="25" t="n">
        <v>131921738</v>
      </c>
      <c r="S409" s="25" t="n">
        <v>169991393</v>
      </c>
      <c r="T409" s="25">
        <f>IF(AND(R409="",S409=""),"",N(R409)+N(S409))</f>
        <v/>
      </c>
      <c r="U409" s="25" t="n"/>
      <c r="V409" s="26" t="inlineStr">
        <is>
          <t>IMDb</t>
        </is>
      </c>
      <c r="W409" s="26" t="inlineStr">
        <is>
          <t>FilmAffinity</t>
        </is>
      </c>
      <c r="X409" s="26" t="inlineStr">
        <is>
          <t>Letterboxd</t>
        </is>
      </c>
    </row>
    <row r="410">
      <c r="A410" t="inlineStr">
        <is>
          <t>p0409</t>
        </is>
      </c>
      <c r="B410" t="inlineStr">
        <is>
          <t>Café solo o con ellas</t>
        </is>
      </c>
      <c r="C410" t="inlineStr">
        <is>
          <t>Café solo o con ellas</t>
        </is>
      </c>
      <c r="D410" s="4" t="n">
        <v>2007</v>
      </c>
      <c r="E410" s="4">
        <f>IF(D410="","",FLOOR(D410,10))</f>
        <v/>
      </c>
      <c r="F410" s="22" t="n">
        <v>100</v>
      </c>
      <c r="G410" s="23" t="n">
        <v>4.2</v>
      </c>
      <c r="H410" t="inlineStr">
        <is>
          <t>Álvaro Díaz Lorenzo</t>
        </is>
      </c>
      <c r="I410" t="inlineStr">
        <is>
          <t>España</t>
        </is>
      </c>
      <c r="J410" t="inlineStr">
        <is>
          <t>Comedia, Romance</t>
        </is>
      </c>
      <c r="M410" s="6" t="n"/>
      <c r="O410" s="24" t="inlineStr"/>
      <c r="Q410" s="25" t="n"/>
      <c r="R410" s="25" t="n"/>
      <c r="S410" s="25" t="n"/>
      <c r="T410" s="25">
        <f>IF(AND(R410="",S410=""),"",N(R410)+N(S410))</f>
        <v/>
      </c>
      <c r="U410" s="25" t="n"/>
      <c r="V410" s="26" t="inlineStr">
        <is>
          <t>IMDb</t>
        </is>
      </c>
      <c r="W410" s="26" t="inlineStr">
        <is>
          <t>FilmAffinity</t>
        </is>
      </c>
      <c r="X410" s="26" t="inlineStr">
        <is>
          <t>Letterboxd</t>
        </is>
      </c>
    </row>
    <row r="411">
      <c r="A411" t="inlineStr">
        <is>
          <t>p0410</t>
        </is>
      </c>
      <c r="B411" t="inlineStr">
        <is>
          <t>Juegos Secretos</t>
        </is>
      </c>
      <c r="C411" t="inlineStr">
        <is>
          <t>Little Children</t>
        </is>
      </c>
      <c r="D411" s="4" t="n">
        <v>2006</v>
      </c>
      <c r="E411" s="4">
        <f>IF(D411="","",FLOOR(D411,10))</f>
        <v/>
      </c>
      <c r="F411" s="22" t="n">
        <v>130</v>
      </c>
      <c r="G411" s="23" t="n">
        <v>8.300000000000001</v>
      </c>
      <c r="H411" t="inlineStr">
        <is>
          <t>Todd Field</t>
        </is>
      </c>
      <c r="I411" t="inlineStr">
        <is>
          <t>Estados Unidos</t>
        </is>
      </c>
      <c r="J411" t="inlineStr">
        <is>
          <t>Drama, Romance</t>
        </is>
      </c>
      <c r="M411" s="6" t="n"/>
      <c r="O411" s="24" t="inlineStr"/>
      <c r="Q411" s="25" t="n"/>
      <c r="R411" s="25" t="n"/>
      <c r="S411" s="25" t="n"/>
      <c r="T411" s="25">
        <f>IF(AND(R411="",S411=""),"",N(R411)+N(S411))</f>
        <v/>
      </c>
      <c r="U411" s="25" t="n"/>
      <c r="V411" s="26" t="inlineStr">
        <is>
          <t>IMDb</t>
        </is>
      </c>
      <c r="W411" s="26" t="inlineStr">
        <is>
          <t>FilmAffinity</t>
        </is>
      </c>
      <c r="X411" s="26" t="inlineStr">
        <is>
          <t>Letterboxd</t>
        </is>
      </c>
    </row>
    <row r="412">
      <c r="A412" t="inlineStr">
        <is>
          <t>p0411</t>
        </is>
      </c>
      <c r="B412" t="inlineStr">
        <is>
          <t>No se lo digas a nadie</t>
        </is>
      </c>
      <c r="C412" t="inlineStr">
        <is>
          <t>Tell No One</t>
        </is>
      </c>
      <c r="D412" s="4" t="n">
        <v>2006</v>
      </c>
      <c r="E412" s="4">
        <f>IF(D412="","",FLOOR(D412,10))</f>
        <v/>
      </c>
      <c r="F412" s="22" t="n">
        <v>125</v>
      </c>
      <c r="G412" s="23" t="n">
        <v>7.7</v>
      </c>
      <c r="H412" t="inlineStr">
        <is>
          <t>Guillaume Canet</t>
        </is>
      </c>
      <c r="I412" t="inlineStr">
        <is>
          <t>Francia</t>
        </is>
      </c>
      <c r="J412" t="inlineStr">
        <is>
          <t>Thriller, Misterio</t>
        </is>
      </c>
      <c r="M412" s="6" t="n"/>
      <c r="O412" s="24" t="inlineStr"/>
      <c r="Q412" s="25" t="n"/>
      <c r="R412" s="25" t="n"/>
      <c r="S412" s="25" t="n"/>
      <c r="T412" s="25">
        <f>IF(AND(R412="",S412=""),"",N(R412)+N(S412))</f>
        <v/>
      </c>
      <c r="U412" s="25" t="n"/>
      <c r="V412" s="26" t="inlineStr">
        <is>
          <t>IMDb</t>
        </is>
      </c>
      <c r="W412" s="26" t="inlineStr">
        <is>
          <t>FilmAffinity</t>
        </is>
      </c>
      <c r="X412" s="26" t="inlineStr">
        <is>
          <t>Letterboxd</t>
        </is>
      </c>
    </row>
    <row r="413">
      <c r="A413" t="inlineStr">
        <is>
          <t>p0412</t>
        </is>
      </c>
      <c r="B413" t="inlineStr">
        <is>
          <t>Infiltrados</t>
        </is>
      </c>
      <c r="C413" t="inlineStr">
        <is>
          <t>The Departed</t>
        </is>
      </c>
      <c r="D413" s="4" t="n">
        <v>2006</v>
      </c>
      <c r="E413" s="4">
        <f>IF(D413="","",FLOOR(D413,10))</f>
        <v/>
      </c>
      <c r="F413" s="22" t="n">
        <v>149</v>
      </c>
      <c r="G413" s="23" t="n">
        <v>7.6</v>
      </c>
      <c r="H413" t="inlineStr">
        <is>
          <t>Martin Scorsese</t>
        </is>
      </c>
      <c r="I413" t="inlineStr">
        <is>
          <t>Estados Unidos</t>
        </is>
      </c>
      <c r="J413" t="inlineStr">
        <is>
          <t>Crimen, Thriller</t>
        </is>
      </c>
      <c r="M413" s="6" t="n"/>
      <c r="O413" s="24" t="inlineStr"/>
      <c r="Q413" s="25" t="n">
        <v>26887467</v>
      </c>
      <c r="R413" s="25" t="n">
        <v>132399394</v>
      </c>
      <c r="S413" s="25" t="n">
        <v>159695642</v>
      </c>
      <c r="T413" s="25">
        <f>IF(AND(R413="",S413=""),"",N(R413)+N(S413))</f>
        <v/>
      </c>
      <c r="U413" s="25" t="n"/>
      <c r="V413" s="26" t="inlineStr">
        <is>
          <t>IMDb</t>
        </is>
      </c>
      <c r="W413" s="26" t="inlineStr">
        <is>
          <t>FilmAffinity</t>
        </is>
      </c>
      <c r="X413" s="26" t="inlineStr">
        <is>
          <t>Letterboxd</t>
        </is>
      </c>
    </row>
    <row r="414">
      <c r="A414" t="inlineStr">
        <is>
          <t>p0413</t>
        </is>
      </c>
      <c r="B414" t="inlineStr">
        <is>
          <t>El Truco Final</t>
        </is>
      </c>
      <c r="C414" t="inlineStr">
        <is>
          <t>The Prestige</t>
        </is>
      </c>
      <c r="D414" s="4" t="n">
        <v>2006</v>
      </c>
      <c r="E414" s="4">
        <f>IF(D414="","",FLOOR(D414,10))</f>
        <v/>
      </c>
      <c r="F414" s="22" t="n">
        <v>130</v>
      </c>
      <c r="G414" s="23" t="n">
        <v>7.5</v>
      </c>
      <c r="H414" t="inlineStr">
        <is>
          <t>Christopher Nolan</t>
        </is>
      </c>
      <c r="I414" t="inlineStr">
        <is>
          <t>Estados Unidos</t>
        </is>
      </c>
      <c r="J414" t="inlineStr">
        <is>
          <t>Misterio, Thriller, Drama</t>
        </is>
      </c>
      <c r="M414" s="6" t="n"/>
      <c r="O414" s="24" t="inlineStr"/>
      <c r="Q414" s="25" t="n">
        <v>14801808</v>
      </c>
      <c r="R414" s="25" t="n">
        <v>53089891</v>
      </c>
      <c r="S414" s="25" t="n">
        <v>56586420</v>
      </c>
      <c r="T414" s="25">
        <f>IF(AND(R414="",S414=""),"",N(R414)+N(S414))</f>
        <v/>
      </c>
      <c r="U414" s="25" t="n"/>
      <c r="V414" s="26" t="inlineStr">
        <is>
          <t>IMDb</t>
        </is>
      </c>
      <c r="W414" s="26" t="inlineStr">
        <is>
          <t>FilmAffinity</t>
        </is>
      </c>
      <c r="X414" s="26" t="inlineStr">
        <is>
          <t>Letterboxd</t>
        </is>
      </c>
    </row>
    <row r="415">
      <c r="A415" t="inlineStr">
        <is>
          <t>p0414</t>
        </is>
      </c>
      <c r="B415" t="inlineStr">
        <is>
          <t>Volver</t>
        </is>
      </c>
      <c r="C415" t="inlineStr">
        <is>
          <t>Volver</t>
        </is>
      </c>
      <c r="D415" s="4" t="n">
        <v>2006</v>
      </c>
      <c r="E415" s="4">
        <f>IF(D415="","",FLOOR(D415,10))</f>
        <v/>
      </c>
      <c r="F415" s="22" t="n">
        <v>116</v>
      </c>
      <c r="G415" s="23" t="n">
        <v>7.1</v>
      </c>
      <c r="H415" t="inlineStr">
        <is>
          <t>Pedro Almodóvar</t>
        </is>
      </c>
      <c r="I415" t="inlineStr">
        <is>
          <t>España</t>
        </is>
      </c>
      <c r="J415" t="inlineStr">
        <is>
          <t>Drama, Comedia</t>
        </is>
      </c>
      <c r="M415" s="6" t="n"/>
      <c r="O415" s="24" t="inlineStr"/>
      <c r="Q415" s="25" t="n"/>
      <c r="R415" s="25" t="n">
        <v>12899867</v>
      </c>
      <c r="S415" s="25" t="n">
        <v>72704229</v>
      </c>
      <c r="T415" s="25">
        <f>IF(AND(R415="",S415=""),"",N(R415)+N(S415))</f>
        <v/>
      </c>
      <c r="U415" s="25" t="n"/>
      <c r="V415" s="26" t="inlineStr">
        <is>
          <t>IMDb</t>
        </is>
      </c>
      <c r="W415" s="26" t="inlineStr">
        <is>
          <t>FilmAffinity</t>
        </is>
      </c>
      <c r="X415" s="26" t="inlineStr">
        <is>
          <t>Letterboxd</t>
        </is>
      </c>
    </row>
    <row r="416">
      <c r="A416" t="inlineStr">
        <is>
          <t>p0415</t>
        </is>
      </c>
      <c r="B416" t="inlineStr">
        <is>
          <t>Ice Age 2: El Deshielo</t>
        </is>
      </c>
      <c r="C416" t="inlineStr">
        <is>
          <t>Ice Age: The Meltdown</t>
        </is>
      </c>
      <c r="D416" s="4" t="n">
        <v>2006</v>
      </c>
      <c r="E416" s="4">
        <f>IF(D416="","",FLOOR(D416,10))</f>
        <v/>
      </c>
      <c r="F416" s="22" t="n">
        <v>90</v>
      </c>
      <c r="G416" s="23" t="n">
        <v>6.6</v>
      </c>
      <c r="H416" t="inlineStr">
        <is>
          <t>Carlos Saldanha</t>
        </is>
      </c>
      <c r="I416" t="inlineStr">
        <is>
          <t>Estados Unidos</t>
        </is>
      </c>
      <c r="J416" t="inlineStr">
        <is>
          <t>Animación, Comedia, Familiar</t>
        </is>
      </c>
      <c r="K416" t="inlineStr">
        <is>
          <t>Ice Age</t>
        </is>
      </c>
      <c r="M416" s="6" t="n"/>
      <c r="O416" s="24" t="inlineStr"/>
      <c r="Q416" s="25" t="n"/>
      <c r="R416" s="25" t="n"/>
      <c r="S416" s="25" t="n"/>
      <c r="T416" s="25">
        <f>IF(AND(R416="",S416=""),"",N(R416)+N(S416))</f>
        <v/>
      </c>
      <c r="U416" s="25" t="n"/>
      <c r="V416" s="26" t="inlineStr">
        <is>
          <t>IMDb</t>
        </is>
      </c>
      <c r="W416" s="26" t="inlineStr">
        <is>
          <t>FilmAffinity</t>
        </is>
      </c>
      <c r="X416" s="26" t="inlineStr">
        <is>
          <t>Letterboxd</t>
        </is>
      </c>
    </row>
    <row r="417">
      <c r="A417" t="inlineStr">
        <is>
          <t>p0416</t>
        </is>
      </c>
      <c r="B417" t="inlineStr">
        <is>
          <t>Cars</t>
        </is>
      </c>
      <c r="C417" t="inlineStr">
        <is>
          <t>Cars</t>
        </is>
      </c>
      <c r="D417" s="4" t="n">
        <v>2006</v>
      </c>
      <c r="E417" s="4">
        <f>IF(D417="","",FLOOR(D417,10))</f>
        <v/>
      </c>
      <c r="F417" s="22" t="n">
        <v>116</v>
      </c>
      <c r="G417" s="23" t="n">
        <v>6.4</v>
      </c>
      <c r="H417" t="inlineStr">
        <is>
          <t>John Lasseter</t>
        </is>
      </c>
      <c r="I417" t="inlineStr">
        <is>
          <t>Estados Unidos</t>
        </is>
      </c>
      <c r="J417" t="inlineStr">
        <is>
          <t>Animación, Comedia, Familiar</t>
        </is>
      </c>
      <c r="K417" t="inlineStr">
        <is>
          <t>Cars</t>
        </is>
      </c>
      <c r="M417" s="6" t="n"/>
      <c r="O417" s="24" t="inlineStr"/>
      <c r="Q417" s="25" t="n"/>
      <c r="R417" s="25" t="n"/>
      <c r="S417" s="25" t="n"/>
      <c r="T417" s="25">
        <f>IF(AND(R417="",S417=""),"",N(R417)+N(S417))</f>
        <v/>
      </c>
      <c r="U417" s="25" t="n"/>
      <c r="V417" s="26" t="inlineStr">
        <is>
          <t>IMDb</t>
        </is>
      </c>
    </row>
    <row r="418">
      <c r="A418" t="inlineStr">
        <is>
          <t>p0417</t>
        </is>
      </c>
      <c r="B418" t="inlineStr">
        <is>
          <t>La casa del lago</t>
        </is>
      </c>
      <c r="C418" t="inlineStr">
        <is>
          <t>The Lake House</t>
        </is>
      </c>
      <c r="D418" s="4" t="n">
        <v>2006</v>
      </c>
      <c r="E418" s="4">
        <f>IF(D418="","",FLOOR(D418,10))</f>
        <v/>
      </c>
      <c r="F418" s="22" t="n">
        <v>105</v>
      </c>
      <c r="G418" s="23" t="n">
        <v>6.3</v>
      </c>
      <c r="H418" t="inlineStr">
        <is>
          <t>Alejandro Agresti</t>
        </is>
      </c>
      <c r="I418" t="inlineStr">
        <is>
          <t>Estados Unidos</t>
        </is>
      </c>
      <c r="J418" t="inlineStr">
        <is>
          <t>Romance, Drama, Fantasía</t>
        </is>
      </c>
      <c r="M418" s="6" t="n"/>
      <c r="O418" s="24" t="inlineStr"/>
      <c r="Q418" s="25" t="n">
        <v>13616196</v>
      </c>
      <c r="R418" s="25" t="n">
        <v>52330111</v>
      </c>
      <c r="S418" s="25" t="n">
        <v>62500000</v>
      </c>
      <c r="T418" s="25">
        <f>IF(AND(R418="",S418=""),"",N(R418)+N(S418))</f>
        <v/>
      </c>
      <c r="U418" s="25" t="n"/>
      <c r="V418" s="26" t="inlineStr">
        <is>
          <t>IMDb</t>
        </is>
      </c>
      <c r="W418" s="26" t="inlineStr">
        <is>
          <t>FilmAffinity</t>
        </is>
      </c>
      <c r="X418" s="26" t="inlineStr">
        <is>
          <t>Letterboxd</t>
        </is>
      </c>
    </row>
    <row r="419">
      <c r="A419" t="inlineStr">
        <is>
          <t>p0418</t>
        </is>
      </c>
      <c r="B419" t="inlineStr">
        <is>
          <t>Fast &amp; Furious 3: Tokyo Race</t>
        </is>
      </c>
      <c r="C419" t="inlineStr">
        <is>
          <t>The Fast and the Furious: Tokyo Drift</t>
        </is>
      </c>
      <c r="D419" s="4" t="n">
        <v>2006</v>
      </c>
      <c r="E419" s="4">
        <f>IF(D419="","",FLOOR(D419,10))</f>
        <v/>
      </c>
      <c r="F419" s="22" t="n">
        <v>104</v>
      </c>
      <c r="G419" s="23" t="n">
        <v>6.1</v>
      </c>
      <c r="H419" t="inlineStr">
        <is>
          <t>Justin Lin</t>
        </is>
      </c>
      <c r="I419" t="inlineStr">
        <is>
          <t>Estados Unidos</t>
        </is>
      </c>
      <c r="J419" t="inlineStr">
        <is>
          <t>Acción</t>
        </is>
      </c>
      <c r="K419" t="inlineStr">
        <is>
          <t>Fast &amp; Furious</t>
        </is>
      </c>
      <c r="M419" s="6" t="n"/>
      <c r="O419" s="24" t="inlineStr"/>
      <c r="Q419" s="25" t="n"/>
      <c r="R419" s="25" t="n"/>
      <c r="S419" s="25" t="n"/>
      <c r="T419" s="25">
        <f>IF(AND(R419="",S419=""),"",N(R419)+N(S419))</f>
        <v/>
      </c>
      <c r="U419" s="25" t="n"/>
      <c r="V419" s="26" t="inlineStr">
        <is>
          <t>IMDb</t>
        </is>
      </c>
      <c r="W419" s="26" t="inlineStr">
        <is>
          <t>FilmAffinity</t>
        </is>
      </c>
      <c r="X419" s="26" t="inlineStr">
        <is>
          <t>Letterboxd</t>
        </is>
      </c>
    </row>
    <row r="420">
      <c r="A420" t="inlineStr">
        <is>
          <t>p0419</t>
        </is>
      </c>
      <c r="B420" t="inlineStr">
        <is>
          <t>Happy Feet: Rompiendo el Hielo</t>
        </is>
      </c>
      <c r="C420" t="inlineStr">
        <is>
          <t>Happy Feet</t>
        </is>
      </c>
      <c r="D420" s="4" t="n">
        <v>2006</v>
      </c>
      <c r="E420" s="4">
        <f>IF(D420="","",FLOOR(D420,10))</f>
        <v/>
      </c>
      <c r="F420" s="22" t="n">
        <v>108</v>
      </c>
      <c r="G420" s="23" t="n">
        <v>5.9</v>
      </c>
      <c r="H420" t="inlineStr">
        <is>
          <t>George Miller</t>
        </is>
      </c>
      <c r="I420" t="inlineStr">
        <is>
          <t>Estados Unidos</t>
        </is>
      </c>
      <c r="J420" t="inlineStr">
        <is>
          <t>Animación, Musical, Familiar</t>
        </is>
      </c>
      <c r="M420" s="6" t="n"/>
      <c r="O420" s="24" t="inlineStr"/>
      <c r="Q420" s="25" t="n"/>
      <c r="R420" s="25" t="n"/>
      <c r="S420" s="25" t="n"/>
      <c r="T420" s="25">
        <f>IF(AND(R420="",S420=""),"",N(R420)+N(S420))</f>
        <v/>
      </c>
      <c r="U420" s="25" t="n"/>
      <c r="V420" s="26" t="inlineStr">
        <is>
          <t>IMDb</t>
        </is>
      </c>
      <c r="W420" s="26" t="inlineStr">
        <is>
          <t>FilmAffinity</t>
        </is>
      </c>
      <c r="X420" s="26" t="inlineStr">
        <is>
          <t>Letterboxd</t>
        </is>
      </c>
    </row>
    <row r="421">
      <c r="A421" t="inlineStr">
        <is>
          <t>p0420</t>
        </is>
      </c>
      <c r="B421" t="inlineStr">
        <is>
          <t>Saw 3</t>
        </is>
      </c>
      <c r="C421" t="inlineStr">
        <is>
          <t>Saw III</t>
        </is>
      </c>
      <c r="D421" s="4" t="n">
        <v>2006</v>
      </c>
      <c r="E421" s="4">
        <f>IF(D421="","",FLOOR(D421,10))</f>
        <v/>
      </c>
      <c r="F421" s="22" t="n">
        <v>107</v>
      </c>
      <c r="G421" s="23" t="n">
        <v>5.8</v>
      </c>
      <c r="H421" t="inlineStr">
        <is>
          <t>Darren Lynn Bousman</t>
        </is>
      </c>
      <c r="I421" t="inlineStr">
        <is>
          <t>Estados Unidos</t>
        </is>
      </c>
      <c r="J421" t="inlineStr">
        <is>
          <t>Terror</t>
        </is>
      </c>
      <c r="K421" t="inlineStr">
        <is>
          <t>Saw</t>
        </is>
      </c>
      <c r="M421" s="6" t="n"/>
      <c r="O421" s="24" t="inlineStr"/>
      <c r="Q421" s="25" t="n"/>
      <c r="R421" s="25" t="n"/>
      <c r="S421" s="25" t="n"/>
      <c r="T421" s="25">
        <f>IF(AND(R421="",S421=""),"",N(R421)+N(S421))</f>
        <v/>
      </c>
      <c r="U421" s="25" t="n"/>
      <c r="V421" s="26" t="inlineStr">
        <is>
          <t>IMDb</t>
        </is>
      </c>
      <c r="W421" s="26" t="inlineStr">
        <is>
          <t>FilmAffinity</t>
        </is>
      </c>
      <c r="X421" s="26" t="inlineStr">
        <is>
          <t>Letterboxd</t>
        </is>
      </c>
    </row>
    <row r="422">
      <c r="A422" t="inlineStr">
        <is>
          <t>p0421</t>
        </is>
      </c>
      <c r="B422" t="inlineStr">
        <is>
          <t>Noche en el Museo</t>
        </is>
      </c>
      <c r="C422" t="inlineStr">
        <is>
          <t>Night at the Museum</t>
        </is>
      </c>
      <c r="D422" s="4" t="n">
        <v>2006</v>
      </c>
      <c r="E422" s="4">
        <f>IF(D422="","",FLOOR(D422,10))</f>
        <v/>
      </c>
      <c r="F422" s="22" t="n">
        <v>108</v>
      </c>
      <c r="G422" s="23" t="n">
        <v>5.5</v>
      </c>
      <c r="H422" t="inlineStr">
        <is>
          <t>Shawn Levy</t>
        </is>
      </c>
      <c r="I422" t="inlineStr">
        <is>
          <t>Estados Unidos</t>
        </is>
      </c>
      <c r="J422" t="inlineStr">
        <is>
          <t>Comedia, Familiar, Fantasía</t>
        </is>
      </c>
      <c r="M422" s="6" t="n"/>
      <c r="O422" s="24" t="inlineStr"/>
      <c r="Q422" s="25" t="n"/>
      <c r="R422" s="25" t="n"/>
      <c r="S422" s="25" t="n"/>
      <c r="T422" s="25">
        <f>IF(AND(R422="",S422=""),"",N(R422)+N(S422))</f>
        <v/>
      </c>
      <c r="U422" s="25" t="n"/>
      <c r="V422" s="26" t="inlineStr">
        <is>
          <t>IMDb</t>
        </is>
      </c>
      <c r="W422" s="26" t="inlineStr">
        <is>
          <t>FilmAffinity</t>
        </is>
      </c>
      <c r="X422" s="26" t="inlineStr">
        <is>
          <t>Letterboxd</t>
        </is>
      </c>
    </row>
    <row r="423">
      <c r="A423" t="inlineStr">
        <is>
          <t>p0422</t>
        </is>
      </c>
      <c r="B423" t="inlineStr">
        <is>
          <t>Arthur y los Minimoys</t>
        </is>
      </c>
      <c r="C423" t="inlineStr">
        <is>
          <t>Arthur and the Invisibles</t>
        </is>
      </c>
      <c r="D423" s="4" t="n">
        <v>2006</v>
      </c>
      <c r="E423" s="4">
        <f>IF(D423="","",FLOOR(D423,10))</f>
        <v/>
      </c>
      <c r="F423" s="22" t="n">
        <v>103</v>
      </c>
      <c r="G423" s="23" t="n">
        <v>5.1</v>
      </c>
      <c r="H423" t="inlineStr">
        <is>
          <t>Luc Besson</t>
        </is>
      </c>
      <c r="I423" t="inlineStr">
        <is>
          <t>Francia</t>
        </is>
      </c>
      <c r="J423" t="inlineStr">
        <is>
          <t>Animación, Aventura, Familiar</t>
        </is>
      </c>
      <c r="M423" s="6" t="n"/>
      <c r="O423" s="24" t="inlineStr"/>
      <c r="Q423" s="25" t="n"/>
      <c r="R423" s="25" t="n"/>
      <c r="S423" s="25" t="n"/>
      <c r="T423" s="25">
        <f>IF(AND(R423="",S423=""),"",N(R423)+N(S423))</f>
        <v/>
      </c>
      <c r="U423" s="25" t="n"/>
      <c r="V423" s="26" t="inlineStr">
        <is>
          <t>IMDb</t>
        </is>
      </c>
      <c r="W423" s="26" t="inlineStr">
        <is>
          <t>FilmAffinity</t>
        </is>
      </c>
      <c r="X423" s="26" t="inlineStr">
        <is>
          <t>Letterboxd</t>
        </is>
      </c>
    </row>
    <row r="424">
      <c r="A424" t="inlineStr">
        <is>
          <t>p0423</t>
        </is>
      </c>
      <c r="B424" t="inlineStr">
        <is>
          <t>Scary Movie 4</t>
        </is>
      </c>
      <c r="C424" t="inlineStr">
        <is>
          <t>Scary Movie 4</t>
        </is>
      </c>
      <c r="D424" s="4" t="n">
        <v>2006</v>
      </c>
      <c r="E424" s="4">
        <f>IF(D424="","",FLOOR(D424,10))</f>
        <v/>
      </c>
      <c r="F424" s="22" t="n">
        <v>73</v>
      </c>
      <c r="G424" s="23" t="n">
        <v>4.5</v>
      </c>
      <c r="H424" t="inlineStr">
        <is>
          <t>David Zucker</t>
        </is>
      </c>
      <c r="I424" t="inlineStr">
        <is>
          <t>Estados Unidos</t>
        </is>
      </c>
      <c r="J424" t="inlineStr">
        <is>
          <t>Comedia, Terror</t>
        </is>
      </c>
      <c r="K424" t="inlineStr">
        <is>
          <t>Scary Movie</t>
        </is>
      </c>
      <c r="M424" s="6" t="n"/>
      <c r="O424" s="24" t="inlineStr"/>
      <c r="Q424" s="25" t="n"/>
      <c r="R424" s="25" t="n"/>
      <c r="S424" s="25" t="n"/>
      <c r="T424" s="25">
        <f>IF(AND(R424="",S424=""),"",N(R424)+N(S424))</f>
        <v/>
      </c>
      <c r="U424" s="25" t="n"/>
      <c r="V424" s="26" t="inlineStr">
        <is>
          <t>IMDb</t>
        </is>
      </c>
      <c r="W424" s="26" t="inlineStr">
        <is>
          <t>FilmAffinity</t>
        </is>
      </c>
      <c r="X424" s="26" t="inlineStr">
        <is>
          <t>Letterboxd</t>
        </is>
      </c>
    </row>
    <row r="425">
      <c r="A425" t="inlineStr">
        <is>
          <t>p0424</t>
        </is>
      </c>
      <c r="B425" t="inlineStr">
        <is>
          <t>Pequeño Pero Matón</t>
        </is>
      </c>
      <c r="C425" t="inlineStr">
        <is>
          <t>Little Man</t>
        </is>
      </c>
      <c r="D425" s="4" t="n">
        <v>2006</v>
      </c>
      <c r="E425" s="4">
        <f>IF(D425="","",FLOOR(D425,10))</f>
        <v/>
      </c>
      <c r="F425" s="22" t="n">
        <v>98</v>
      </c>
      <c r="G425" s="23" t="n">
        <v>3.7</v>
      </c>
      <c r="H425" t="inlineStr">
        <is>
          <t>Keenen Ivory Wayans</t>
        </is>
      </c>
      <c r="I425" t="inlineStr">
        <is>
          <t>Estados Unidos</t>
        </is>
      </c>
      <c r="J425" t="inlineStr">
        <is>
          <t>Comedia</t>
        </is>
      </c>
      <c r="M425" s="6" t="n"/>
      <c r="O425" s="24" t="inlineStr"/>
      <c r="Q425" s="25" t="n"/>
      <c r="R425" s="25" t="n"/>
      <c r="S425" s="25" t="n"/>
      <c r="T425" s="25">
        <f>IF(AND(R425="",S425=""),"",N(R425)+N(S425))</f>
        <v/>
      </c>
      <c r="U425" s="25" t="n"/>
      <c r="V425" s="26" t="inlineStr">
        <is>
          <t>IMDb</t>
        </is>
      </c>
      <c r="W425" s="26" t="inlineStr">
        <is>
          <t>FilmAffinity</t>
        </is>
      </c>
      <c r="X425" s="26" t="inlineStr">
        <is>
          <t>Letterboxd</t>
        </is>
      </c>
    </row>
    <row r="426">
      <c r="A426" t="inlineStr">
        <is>
          <t>p0425</t>
        </is>
      </c>
      <c r="B426" t="inlineStr">
        <is>
          <t>Serpientes en el Avión</t>
        </is>
      </c>
      <c r="C426" t="inlineStr">
        <is>
          <t>Snakes on a Plane</t>
        </is>
      </c>
      <c r="D426" s="4" t="n">
        <v>2006</v>
      </c>
      <c r="E426" s="4">
        <f>IF(D426="","",FLOOR(D426,10))</f>
        <v/>
      </c>
      <c r="F426" s="22" t="n">
        <v>105</v>
      </c>
      <c r="G426" s="23" t="n">
        <v>3.6</v>
      </c>
      <c r="H426" t="inlineStr">
        <is>
          <t>David R. Ellis</t>
        </is>
      </c>
      <c r="I426" t="inlineStr">
        <is>
          <t>Estados Unidos</t>
        </is>
      </c>
      <c r="J426" t="inlineStr">
        <is>
          <t>Acción, Thriller</t>
        </is>
      </c>
      <c r="M426" s="6" t="n"/>
      <c r="O426" s="24" t="inlineStr"/>
      <c r="Q426" s="25" t="n"/>
      <c r="R426" s="25" t="n"/>
      <c r="S426" s="25" t="n"/>
      <c r="T426" s="25">
        <f>IF(AND(R426="",S426=""),"",N(R426)+N(S426))</f>
        <v/>
      </c>
      <c r="U426" s="25" t="n"/>
      <c r="V426" s="26" t="inlineStr">
        <is>
          <t>IMDb</t>
        </is>
      </c>
      <c r="W426" s="26" t="inlineStr">
        <is>
          <t>FilmAffinity</t>
        </is>
      </c>
      <c r="X426" s="26" t="inlineStr">
        <is>
          <t>Letterboxd</t>
        </is>
      </c>
    </row>
    <row r="427">
      <c r="A427" t="inlineStr">
        <is>
          <t>p0426</t>
        </is>
      </c>
      <c r="B427" t="inlineStr">
        <is>
          <t>7 vírgenes</t>
        </is>
      </c>
      <c r="C427" t="inlineStr">
        <is>
          <t>7 vírgenes</t>
        </is>
      </c>
      <c r="D427" s="4" t="n">
        <v>2005</v>
      </c>
      <c r="E427" s="4">
        <f>IF(D427="","",FLOOR(D427,10))</f>
        <v/>
      </c>
      <c r="F427" s="22" t="n">
        <v>86</v>
      </c>
      <c r="G427" s="23" t="n">
        <v>8.6</v>
      </c>
      <c r="H427" t="inlineStr">
        <is>
          <t>Alberto Rodríguez</t>
        </is>
      </c>
      <c r="I427" t="inlineStr">
        <is>
          <t>España</t>
        </is>
      </c>
      <c r="J427" t="inlineStr">
        <is>
          <t>Drama</t>
        </is>
      </c>
      <c r="M427" s="6" t="n"/>
      <c r="O427" s="24" t="inlineStr"/>
      <c r="Q427" s="25" t="n"/>
      <c r="R427" s="25" t="n"/>
      <c r="S427" s="25" t="n"/>
      <c r="T427" s="25">
        <f>IF(AND(R427="",S427=""),"",N(R427)+N(S427))</f>
        <v/>
      </c>
      <c r="U427" s="25" t="n"/>
      <c r="V427" s="26" t="inlineStr">
        <is>
          <t>IMDb</t>
        </is>
      </c>
      <c r="W427" s="26" t="inlineStr">
        <is>
          <t>FilmAffinity</t>
        </is>
      </c>
      <c r="X427" s="26" t="inlineStr">
        <is>
          <t>Letterboxd</t>
        </is>
      </c>
    </row>
    <row r="428">
      <c r="A428" t="inlineStr">
        <is>
          <t>p0427</t>
        </is>
      </c>
      <c r="B428" t="inlineStr">
        <is>
          <t>Star Wars: Episodio III – La venganza de los Sith</t>
        </is>
      </c>
      <c r="C428" t="inlineStr">
        <is>
          <t>Star Wars: Episode III – Revenge of the Sith</t>
        </is>
      </c>
      <c r="D428" s="4" t="n">
        <v>2005</v>
      </c>
      <c r="E428" s="4">
        <f>IF(D428="","",FLOOR(D428,10))</f>
        <v/>
      </c>
      <c r="F428" s="22" t="n">
        <v>135</v>
      </c>
      <c r="G428" s="23" t="n">
        <v>8.4</v>
      </c>
      <c r="H428" t="inlineStr">
        <is>
          <t>George Lucas</t>
        </is>
      </c>
      <c r="I428" t="inlineStr">
        <is>
          <t>Estados Unidos</t>
        </is>
      </c>
      <c r="J428" t="inlineStr">
        <is>
          <t>Ciencia ficción, Aventura, Acción</t>
        </is>
      </c>
      <c r="K428" t="inlineStr">
        <is>
          <t>Star Wars</t>
        </is>
      </c>
      <c r="M428" s="6" t="n"/>
      <c r="O428" s="24" t="inlineStr"/>
      <c r="Q428" s="25" t="n">
        <v>108435841</v>
      </c>
      <c r="R428" s="25" t="n">
        <v>414378291</v>
      </c>
      <c r="S428" s="25" t="n">
        <v>491217656</v>
      </c>
      <c r="T428" s="25">
        <f>IF(AND(R428="",S428=""),"",N(R428)+N(S428))</f>
        <v/>
      </c>
      <c r="U428" s="25" t="n"/>
      <c r="V428" s="26" t="inlineStr">
        <is>
          <t>IMDb</t>
        </is>
      </c>
      <c r="W428" s="26" t="inlineStr">
        <is>
          <t>FilmAffinity</t>
        </is>
      </c>
      <c r="X428" s="26" t="inlineStr">
        <is>
          <t>Letterboxd</t>
        </is>
      </c>
    </row>
    <row r="429">
      <c r="A429" t="inlineStr">
        <is>
          <t>p0428</t>
        </is>
      </c>
      <c r="B429" t="inlineStr">
        <is>
          <t>V de Vendetta</t>
        </is>
      </c>
      <c r="C429" t="inlineStr">
        <is>
          <t>V for Vendetta</t>
        </is>
      </c>
      <c r="D429" s="4" t="n">
        <v>2005</v>
      </c>
      <c r="E429" s="4">
        <f>IF(D429="","",FLOOR(D429,10))</f>
        <v/>
      </c>
      <c r="F429" s="22" t="n">
        <v>132</v>
      </c>
      <c r="G429" s="23" t="n">
        <v>7.1</v>
      </c>
      <c r="H429" t="inlineStr">
        <is>
          <t>James McTeigue</t>
        </is>
      </c>
      <c r="I429" t="inlineStr">
        <is>
          <t>Estados Unidos</t>
        </is>
      </c>
      <c r="J429" t="inlineStr">
        <is>
          <t>Acción, Ciencia ficción, Thriller</t>
        </is>
      </c>
      <c r="M429" s="6" t="n"/>
      <c r="O429" s="24" t="inlineStr"/>
      <c r="Q429" s="25" t="n"/>
      <c r="R429" s="25" t="n"/>
      <c r="S429" s="25" t="n"/>
      <c r="T429" s="25">
        <f>IF(AND(R429="",S429=""),"",N(R429)+N(S429))</f>
        <v/>
      </c>
      <c r="U429" s="25" t="n"/>
      <c r="V429" s="26" t="inlineStr">
        <is>
          <t>IMDb</t>
        </is>
      </c>
      <c r="W429" s="26" t="inlineStr">
        <is>
          <t>FilmAffinity</t>
        </is>
      </c>
      <c r="X429" s="26" t="inlineStr">
        <is>
          <t>Letterboxd</t>
        </is>
      </c>
    </row>
    <row r="430">
      <c r="A430" t="inlineStr">
        <is>
          <t>p0429</t>
        </is>
      </c>
      <c r="B430" t="inlineStr">
        <is>
          <t>Batman Begins</t>
        </is>
      </c>
      <c r="C430" t="inlineStr">
        <is>
          <t>Batman Begins</t>
        </is>
      </c>
      <c r="D430" s="4" t="n">
        <v>2005</v>
      </c>
      <c r="E430" s="4">
        <f>IF(D430="","",FLOOR(D430,10))</f>
        <v/>
      </c>
      <c r="F430" s="22" t="n">
        <v>140</v>
      </c>
      <c r="G430" s="23" t="n">
        <v>6.9</v>
      </c>
      <c r="H430" t="inlineStr">
        <is>
          <t>Christopher Nolan</t>
        </is>
      </c>
      <c r="I430" t="inlineStr">
        <is>
          <t>Estados Unidos</t>
        </is>
      </c>
      <c r="J430" t="inlineStr">
        <is>
          <t>Superhéroes, Acción</t>
        </is>
      </c>
      <c r="K430" t="inlineStr">
        <is>
          <t>Batman</t>
        </is>
      </c>
      <c r="M430" s="6" t="n"/>
      <c r="O430" s="24" t="inlineStr"/>
      <c r="Q430" s="25" t="n"/>
      <c r="R430" s="25" t="n"/>
      <c r="S430" s="25" t="n"/>
      <c r="T430" s="25">
        <f>IF(AND(R430="",S430=""),"",N(R430)+N(S430))</f>
        <v/>
      </c>
      <c r="U430" s="25" t="n"/>
      <c r="V430" s="26" t="inlineStr">
        <is>
          <t>IMDb</t>
        </is>
      </c>
      <c r="W430" s="26" t="inlineStr">
        <is>
          <t>FilmAffinity</t>
        </is>
      </c>
      <c r="X430" s="26" t="inlineStr">
        <is>
          <t>Letterboxd</t>
        </is>
      </c>
    </row>
    <row r="431">
      <c r="A431" t="inlineStr">
        <is>
          <t>p0430</t>
        </is>
      </c>
      <c r="B431" t="inlineStr">
        <is>
          <t>El método</t>
        </is>
      </c>
      <c r="C431" t="inlineStr">
        <is>
          <t>El método</t>
        </is>
      </c>
      <c r="D431" s="4" t="n">
        <v>2005</v>
      </c>
      <c r="E431" s="4">
        <f>IF(D431="","",FLOOR(D431,10))</f>
        <v/>
      </c>
      <c r="F431" s="22" t="n">
        <v>112</v>
      </c>
      <c r="G431" s="23" t="n">
        <v>6.8</v>
      </c>
      <c r="H431" t="inlineStr">
        <is>
          <t>Marcelo Piñeyro</t>
        </is>
      </c>
      <c r="I431" t="inlineStr">
        <is>
          <t>España</t>
        </is>
      </c>
      <c r="J431" t="inlineStr">
        <is>
          <t>Thriller, Drama</t>
        </is>
      </c>
      <c r="M431" s="6" t="n"/>
      <c r="O431" s="24" t="inlineStr"/>
      <c r="Q431" s="25" t="n"/>
      <c r="R431" s="25" t="n"/>
      <c r="S431" s="25" t="n"/>
      <c r="T431" s="25">
        <f>IF(AND(R431="",S431=""),"",N(R431)+N(S431))</f>
        <v/>
      </c>
      <c r="U431" s="25" t="n"/>
      <c r="V431" s="26" t="inlineStr">
        <is>
          <t>IMDb</t>
        </is>
      </c>
      <c r="W431" s="26" t="inlineStr">
        <is>
          <t>FilmAffinity</t>
        </is>
      </c>
      <c r="X431" s="26" t="inlineStr">
        <is>
          <t>Letterboxd</t>
        </is>
      </c>
    </row>
    <row r="432">
      <c r="A432" t="inlineStr">
        <is>
          <t>p0431</t>
        </is>
      </c>
      <c r="B432" t="inlineStr">
        <is>
          <t>Charlie y la fábrica de chocolate</t>
        </is>
      </c>
      <c r="C432" t="inlineStr">
        <is>
          <t>Charlie and the Chocolate Factory</t>
        </is>
      </c>
      <c r="D432" s="4" t="n">
        <v>2005</v>
      </c>
      <c r="E432" s="4">
        <f>IF(D432="","",FLOOR(D432,10))</f>
        <v/>
      </c>
      <c r="F432" s="22" t="n">
        <v>116</v>
      </c>
      <c r="G432" s="23" t="n">
        <v>6.7</v>
      </c>
      <c r="H432" t="inlineStr">
        <is>
          <t>Tim Burton</t>
        </is>
      </c>
      <c r="I432" t="inlineStr">
        <is>
          <t>Estados Unidos</t>
        </is>
      </c>
      <c r="J432" t="inlineStr">
        <is>
          <t>Fantasía, Familiar, Comedia</t>
        </is>
      </c>
      <c r="M432" s="6" t="n"/>
      <c r="O432" s="24" t="inlineStr"/>
      <c r="Q432" s="25" t="n"/>
      <c r="R432" s="25" t="n"/>
      <c r="S432" s="25" t="n"/>
      <c r="T432" s="25">
        <f>IF(AND(R432="",S432=""),"",N(R432)+N(S432))</f>
        <v/>
      </c>
      <c r="U432" s="25" t="n"/>
      <c r="V432" s="26" t="inlineStr">
        <is>
          <t>IMDb</t>
        </is>
      </c>
      <c r="W432" s="26" t="inlineStr">
        <is>
          <t>FilmAffinity</t>
        </is>
      </c>
      <c r="X432" s="26" t="inlineStr">
        <is>
          <t>Letterboxd</t>
        </is>
      </c>
    </row>
    <row r="433">
      <c r="A433" t="inlineStr">
        <is>
          <t>p0432</t>
        </is>
      </c>
      <c r="B433" t="inlineStr">
        <is>
          <t>Madagascar</t>
        </is>
      </c>
      <c r="C433" t="inlineStr">
        <is>
          <t>Madagascar</t>
        </is>
      </c>
      <c r="D433" s="4" t="n">
        <v>2005</v>
      </c>
      <c r="E433" s="4">
        <f>IF(D433="","",FLOOR(D433,10))</f>
        <v/>
      </c>
      <c r="F433" s="22" t="n">
        <v>80</v>
      </c>
      <c r="G433" s="23" t="n">
        <v>6.3</v>
      </c>
      <c r="H433" t="inlineStr">
        <is>
          <t>Eric Darnell / Tom McGrath</t>
        </is>
      </c>
      <c r="I433" t="inlineStr">
        <is>
          <t>Estados Unidos</t>
        </is>
      </c>
      <c r="J433" t="inlineStr">
        <is>
          <t>Animación, Comedia, Familiar</t>
        </is>
      </c>
      <c r="K433" t="inlineStr">
        <is>
          <t>Madagascar</t>
        </is>
      </c>
      <c r="M433" s="6" t="n"/>
      <c r="O433" s="24" t="inlineStr"/>
      <c r="Q433" s="25" t="n"/>
      <c r="R433" s="25" t="n"/>
      <c r="S433" s="25" t="n"/>
      <c r="T433" s="25">
        <f>IF(AND(R433="",S433=""),"",N(R433)+N(S433))</f>
        <v/>
      </c>
      <c r="U433" s="25" t="n"/>
      <c r="V433" s="26" t="inlineStr">
        <is>
          <t>IMDb</t>
        </is>
      </c>
      <c r="W433" s="26" t="inlineStr">
        <is>
          <t>FilmAffinity</t>
        </is>
      </c>
      <c r="X433" s="26" t="inlineStr">
        <is>
          <t>Letterboxd</t>
        </is>
      </c>
    </row>
    <row r="434">
      <c r="A434" t="inlineStr">
        <is>
          <t>p0433</t>
        </is>
      </c>
      <c r="B434" t="inlineStr">
        <is>
          <t>La Novia Cadáver</t>
        </is>
      </c>
      <c r="C434" t="inlineStr">
        <is>
          <t>Corpse Bride</t>
        </is>
      </c>
      <c r="D434" s="4" t="n">
        <v>2005</v>
      </c>
      <c r="E434" s="4">
        <f>IF(D434="","",FLOOR(D434,10))</f>
        <v/>
      </c>
      <c r="F434" s="22" t="n">
        <v>75</v>
      </c>
      <c r="G434" s="23" t="n">
        <v>6.1</v>
      </c>
      <c r="H434" t="inlineStr">
        <is>
          <t>Tim Burton / Mike Johnson</t>
        </is>
      </c>
      <c r="I434" t="inlineStr">
        <is>
          <t>Estados Unidos</t>
        </is>
      </c>
      <c r="J434" t="inlineStr">
        <is>
          <t>Animación, Fantasía, Musical</t>
        </is>
      </c>
      <c r="M434" s="6" t="n"/>
      <c r="O434" s="24" t="inlineStr"/>
      <c r="Q434" s="25" t="n"/>
      <c r="R434" s="25" t="n"/>
      <c r="S434" s="25" t="n"/>
      <c r="T434" s="25">
        <f>IF(AND(R434="",S434=""),"",N(R434)+N(S434))</f>
        <v/>
      </c>
      <c r="U434" s="25" t="n"/>
      <c r="V434" s="26" t="inlineStr">
        <is>
          <t>IMDb</t>
        </is>
      </c>
      <c r="W434" s="26" t="inlineStr">
        <is>
          <t>FilmAffinity</t>
        </is>
      </c>
      <c r="X434" s="26" t="inlineStr">
        <is>
          <t>Letterboxd</t>
        </is>
      </c>
    </row>
    <row r="435">
      <c r="A435" t="inlineStr">
        <is>
          <t>p0434</t>
        </is>
      </c>
      <c r="B435" t="inlineStr">
        <is>
          <t>Las Crónicas de Narnia: El León, la Bruja y el Armario</t>
        </is>
      </c>
      <c r="C435" t="inlineStr">
        <is>
          <t>The Chronicles of Narnia: The Lion, the Witch and the Wardrobe</t>
        </is>
      </c>
      <c r="D435" s="4" t="n">
        <v>2005</v>
      </c>
      <c r="E435" s="4">
        <f>IF(D435="","",FLOOR(D435,10))</f>
        <v/>
      </c>
      <c r="F435" s="22" t="n">
        <v>140</v>
      </c>
      <c r="G435" s="23" t="n">
        <v>6</v>
      </c>
      <c r="H435" t="inlineStr">
        <is>
          <t>Andrew Adamson</t>
        </is>
      </c>
      <c r="I435" t="inlineStr">
        <is>
          <t>Estados Unidos</t>
        </is>
      </c>
      <c r="J435" t="inlineStr">
        <is>
          <t>Fantasía, Aventura, Familiar</t>
        </is>
      </c>
      <c r="M435" s="6" t="n"/>
      <c r="O435" s="24" t="inlineStr"/>
      <c r="Q435" s="25" t="n"/>
      <c r="R435" s="25" t="n"/>
      <c r="S435" s="25" t="n"/>
      <c r="T435" s="25">
        <f>IF(AND(R435="",S435=""),"",N(R435)+N(S435))</f>
        <v/>
      </c>
      <c r="U435" s="25" t="n"/>
      <c r="V435" s="26" t="inlineStr">
        <is>
          <t>IMDb</t>
        </is>
      </c>
      <c r="W435" s="26" t="inlineStr">
        <is>
          <t>FilmAffinity</t>
        </is>
      </c>
      <c r="X435" s="26" t="inlineStr">
        <is>
          <t>Letterboxd</t>
        </is>
      </c>
    </row>
    <row r="436">
      <c r="A436" t="inlineStr">
        <is>
          <t>p0435</t>
        </is>
      </c>
      <c r="B436" t="inlineStr">
        <is>
          <t>Pokémon 8: Lucario y el Misterio de Mew</t>
        </is>
      </c>
      <c r="C436" t="inlineStr">
        <is>
          <t>Pokémon: Lucario and the Mystery of Mew</t>
        </is>
      </c>
      <c r="D436" s="4" t="n">
        <v>2005</v>
      </c>
      <c r="E436" s="4">
        <f>IF(D436="","",FLOOR(D436,10))</f>
        <v/>
      </c>
      <c r="F436" s="22" t="n">
        <v>105</v>
      </c>
      <c r="G436" s="23" t="n">
        <v>5.8</v>
      </c>
      <c r="H436" t="inlineStr">
        <is>
          <t>Kunihiko Yuyama</t>
        </is>
      </c>
      <c r="I436" t="inlineStr">
        <is>
          <t>Japón</t>
        </is>
      </c>
      <c r="J436" t="inlineStr">
        <is>
          <t>Animación, Aventura</t>
        </is>
      </c>
      <c r="K436" t="inlineStr">
        <is>
          <t>Pokémon</t>
        </is>
      </c>
      <c r="M436" s="6" t="n"/>
      <c r="O436" s="24" t="inlineStr"/>
      <c r="Q436" s="25" t="n"/>
      <c r="R436" s="25" t="n"/>
      <c r="S436" s="25" t="n"/>
      <c r="T436" s="25">
        <f>IF(AND(R436="",S436=""),"",N(R436)+N(S436))</f>
        <v/>
      </c>
      <c r="U436" s="25" t="n"/>
      <c r="V436" s="26" t="inlineStr">
        <is>
          <t>IMDb</t>
        </is>
      </c>
      <c r="W436" s="26" t="inlineStr">
        <is>
          <t>FilmAffinity</t>
        </is>
      </c>
      <c r="X436" s="26" t="inlineStr">
        <is>
          <t>Letterboxd</t>
        </is>
      </c>
    </row>
    <row r="437">
      <c r="A437" t="inlineStr">
        <is>
          <t>p0436</t>
        </is>
      </c>
      <c r="B437" t="inlineStr">
        <is>
          <t>Saw 2</t>
        </is>
      </c>
      <c r="C437" t="inlineStr">
        <is>
          <t>Saw II</t>
        </is>
      </c>
      <c r="D437" s="4" t="n">
        <v>2005</v>
      </c>
      <c r="E437" s="4">
        <f>IF(D437="","",FLOOR(D437,10))</f>
        <v/>
      </c>
      <c r="F437" s="22" t="n">
        <v>93</v>
      </c>
      <c r="G437" s="23" t="n">
        <v>5.7</v>
      </c>
      <c r="H437" t="inlineStr">
        <is>
          <t>Darren Lynn Bousman</t>
        </is>
      </c>
      <c r="I437" t="inlineStr">
        <is>
          <t>Estados Unidos</t>
        </is>
      </c>
      <c r="J437" t="inlineStr">
        <is>
          <t>Terror</t>
        </is>
      </c>
      <c r="K437" t="inlineStr">
        <is>
          <t>Saw</t>
        </is>
      </c>
      <c r="M437" s="6" t="n"/>
      <c r="O437" s="24" t="inlineStr"/>
      <c r="Q437" s="25" t="n"/>
      <c r="R437" s="25" t="n"/>
      <c r="S437" s="25" t="n"/>
      <c r="T437" s="25">
        <f>IF(AND(R437="",S437=""),"",N(R437)+N(S437))</f>
        <v/>
      </c>
      <c r="U437" s="25" t="n"/>
      <c r="V437" s="26" t="inlineStr">
        <is>
          <t>IMDb</t>
        </is>
      </c>
      <c r="W437" s="26" t="inlineStr">
        <is>
          <t>FilmAffinity</t>
        </is>
      </c>
      <c r="X437" s="26" t="inlineStr">
        <is>
          <t>Letterboxd</t>
        </is>
      </c>
    </row>
    <row r="438">
      <c r="A438" t="inlineStr">
        <is>
          <t>p0437</t>
        </is>
      </c>
      <c r="B438" t="inlineStr">
        <is>
          <t>Los 4 Fantásticos</t>
        </is>
      </c>
      <c r="C438" t="inlineStr">
        <is>
          <t>Fantastic Four</t>
        </is>
      </c>
      <c r="D438" s="4" t="n">
        <v>2005</v>
      </c>
      <c r="E438" s="4">
        <f>IF(D438="","",FLOOR(D438,10))</f>
        <v/>
      </c>
      <c r="F438" s="22" t="n">
        <v>105</v>
      </c>
      <c r="G438" s="23" t="n">
        <v>5.2</v>
      </c>
      <c r="H438" t="inlineStr">
        <is>
          <t>Tim Story</t>
        </is>
      </c>
      <c r="I438" t="inlineStr">
        <is>
          <t>Estados Unidos</t>
        </is>
      </c>
      <c r="J438" t="inlineStr">
        <is>
          <t>Superhéroes, Acción</t>
        </is>
      </c>
      <c r="K438" t="inlineStr">
        <is>
          <t>Los 4 Fantásticos (2005)</t>
        </is>
      </c>
      <c r="M438" s="6" t="n"/>
      <c r="O438" s="24" t="inlineStr"/>
      <c r="Q438" s="25" t="n"/>
      <c r="R438" s="25" t="n"/>
      <c r="S438" s="25" t="n"/>
      <c r="T438" s="25">
        <f>IF(AND(R438="",S438=""),"",N(R438)+N(S438))</f>
        <v/>
      </c>
      <c r="U438" s="25" t="n"/>
      <c r="V438" s="26" t="inlineStr">
        <is>
          <t>IMDb</t>
        </is>
      </c>
      <c r="W438" s="26" t="inlineStr">
        <is>
          <t>FilmAffinity</t>
        </is>
      </c>
      <c r="X438" s="26" t="inlineStr">
        <is>
          <t>Letterboxd</t>
        </is>
      </c>
    </row>
    <row r="439">
      <c r="A439" t="inlineStr">
        <is>
          <t>p0438</t>
        </is>
      </c>
      <c r="B439" t="inlineStr">
        <is>
          <t>Torrente 3: El protector</t>
        </is>
      </c>
      <c r="C439" t="inlineStr">
        <is>
          <t>Torrente 3: El protector</t>
        </is>
      </c>
      <c r="D439" s="4" t="n">
        <v>2005</v>
      </c>
      <c r="E439" s="4">
        <f>IF(D439="","",FLOOR(D439,10))</f>
        <v/>
      </c>
      <c r="F439" s="22" t="n">
        <v>97</v>
      </c>
      <c r="G439" s="23" t="n">
        <v>3.2</v>
      </c>
      <c r="H439" t="inlineStr">
        <is>
          <t>Santiago Segura</t>
        </is>
      </c>
      <c r="I439" t="inlineStr">
        <is>
          <t>España</t>
        </is>
      </c>
      <c r="J439" t="inlineStr">
        <is>
          <t>Comedia, Acción</t>
        </is>
      </c>
      <c r="K439" t="inlineStr">
        <is>
          <t>Torrente</t>
        </is>
      </c>
      <c r="M439" s="6" t="n"/>
      <c r="O439" s="24" t="inlineStr"/>
      <c r="Q439" s="25" t="n"/>
      <c r="R439" s="25" t="n"/>
      <c r="S439" s="25" t="n"/>
      <c r="T439" s="25">
        <f>IF(AND(R439="",S439=""),"",N(R439)+N(S439))</f>
        <v/>
      </c>
      <c r="U439" s="25" t="n"/>
      <c r="V439" s="26" t="inlineStr">
        <is>
          <t>IMDb</t>
        </is>
      </c>
      <c r="W439" s="26" t="inlineStr">
        <is>
          <t>FilmAffinity</t>
        </is>
      </c>
      <c r="X439" s="26" t="inlineStr">
        <is>
          <t>Letterboxd</t>
        </is>
      </c>
    </row>
    <row r="440">
      <c r="A440" t="inlineStr">
        <is>
          <t>p0439</t>
        </is>
      </c>
      <c r="B440" t="inlineStr">
        <is>
          <t>El Castillo Ambulante</t>
        </is>
      </c>
      <c r="C440" t="inlineStr">
        <is>
          <t>Howl's Moving Castle</t>
        </is>
      </c>
      <c r="D440" s="4" t="n">
        <v>2004</v>
      </c>
      <c r="E440" s="4">
        <f>IF(D440="","",FLOOR(D440,10))</f>
        <v/>
      </c>
      <c r="F440" s="22" t="n">
        <v>119</v>
      </c>
      <c r="G440" s="23" t="n">
        <v>9.1</v>
      </c>
      <c r="H440" t="inlineStr">
        <is>
          <t>Hayao Miyazaki</t>
        </is>
      </c>
      <c r="I440" t="inlineStr">
        <is>
          <t>Japón</t>
        </is>
      </c>
      <c r="J440" t="inlineStr">
        <is>
          <t>Animación, Fantasía, Romance</t>
        </is>
      </c>
      <c r="M440" s="6" t="n"/>
      <c r="O440" s="24" t="inlineStr"/>
      <c r="Q440" s="25" t="n"/>
      <c r="R440" s="25" t="n"/>
      <c r="S440" s="25" t="n"/>
      <c r="T440" s="25">
        <f>IF(AND(R440="",S440=""),"",N(R440)+N(S440))</f>
        <v/>
      </c>
      <c r="U440" s="25" t="n"/>
      <c r="V440" s="26" t="inlineStr">
        <is>
          <t>IMDb</t>
        </is>
      </c>
      <c r="W440" s="26" t="inlineStr">
        <is>
          <t>FilmAffinity</t>
        </is>
      </c>
      <c r="X440" s="26" t="inlineStr">
        <is>
          <t>Letterboxd</t>
        </is>
      </c>
    </row>
    <row r="441">
      <c r="A441" t="inlineStr">
        <is>
          <t>p0440</t>
        </is>
      </c>
      <c r="B441" t="inlineStr">
        <is>
          <t>Million Dollar Baby</t>
        </is>
      </c>
      <c r="C441" t="inlineStr">
        <is>
          <t>Million Dollar Baby</t>
        </is>
      </c>
      <c r="D441" s="4" t="n">
        <v>2004</v>
      </c>
      <c r="E441" s="4">
        <f>IF(D441="","",FLOOR(D441,10))</f>
        <v/>
      </c>
      <c r="F441" s="22" t="n">
        <v>132</v>
      </c>
      <c r="G441" s="23" t="n">
        <v>8.1</v>
      </c>
      <c r="H441" t="inlineStr">
        <is>
          <t>Clint Eastwood</t>
        </is>
      </c>
      <c r="I441" t="inlineStr">
        <is>
          <t>Estados Unidos</t>
        </is>
      </c>
      <c r="J441" t="inlineStr">
        <is>
          <t>Drama</t>
        </is>
      </c>
      <c r="M441" s="6" t="n"/>
      <c r="O441" s="24" t="inlineStr"/>
      <c r="Q441" s="25" t="n"/>
      <c r="R441" s="25" t="n"/>
      <c r="S441" s="25" t="n"/>
      <c r="T441" s="25">
        <f>IF(AND(R441="",S441=""),"",N(R441)+N(S441))</f>
        <v/>
      </c>
      <c r="U441" s="25" t="n"/>
      <c r="V441" s="26" t="inlineStr">
        <is>
          <t>IMDb</t>
        </is>
      </c>
      <c r="W441" s="26" t="inlineStr">
        <is>
          <t>FilmAffinity</t>
        </is>
      </c>
      <c r="X441" s="26" t="inlineStr">
        <is>
          <t>Letterboxd</t>
        </is>
      </c>
    </row>
    <row r="442">
      <c r="A442" t="inlineStr">
        <is>
          <t>p0441</t>
        </is>
      </c>
      <c r="B442" t="inlineStr">
        <is>
          <t>Saw</t>
        </is>
      </c>
      <c r="C442" t="inlineStr">
        <is>
          <t>Saw</t>
        </is>
      </c>
      <c r="D442" s="4" t="n">
        <v>2004</v>
      </c>
      <c r="E442" s="4">
        <f>IF(D442="","",FLOOR(D442,10))</f>
        <v/>
      </c>
      <c r="F442" s="22" t="n">
        <v>100</v>
      </c>
      <c r="G442" s="23" t="n">
        <v>7.9</v>
      </c>
      <c r="H442" t="inlineStr">
        <is>
          <t>James Wan</t>
        </is>
      </c>
      <c r="I442" t="inlineStr">
        <is>
          <t>Estados Unidos</t>
        </is>
      </c>
      <c r="J442" t="inlineStr">
        <is>
          <t>Terror, Thriller</t>
        </is>
      </c>
      <c r="K442" t="inlineStr">
        <is>
          <t>Saw</t>
        </is>
      </c>
      <c r="M442" s="6" t="n"/>
      <c r="O442" s="24" t="inlineStr"/>
      <c r="Q442" s="25" t="n"/>
      <c r="R442" s="25" t="n"/>
      <c r="S442" s="25" t="n"/>
      <c r="T442" s="25">
        <f>IF(AND(R442="",S442=""),"",N(R442)+N(S442))</f>
        <v/>
      </c>
      <c r="U442" s="25" t="n"/>
      <c r="V442" s="26" t="inlineStr">
        <is>
          <t>IMDb</t>
        </is>
      </c>
      <c r="W442" s="26" t="inlineStr">
        <is>
          <t>FilmAffinity</t>
        </is>
      </c>
      <c r="X442" s="26" t="inlineStr">
        <is>
          <t>Letterboxd</t>
        </is>
      </c>
    </row>
    <row r="443">
      <c r="A443" t="inlineStr">
        <is>
          <t>p0442</t>
        </is>
      </c>
      <c r="B443" t="inlineStr">
        <is>
          <t>Yo, robot</t>
        </is>
      </c>
      <c r="C443" t="inlineStr">
        <is>
          <t>I, Robot</t>
        </is>
      </c>
      <c r="D443" s="4" t="n">
        <v>2004</v>
      </c>
      <c r="E443" s="4">
        <f>IF(D443="","",FLOOR(D443,10))</f>
        <v/>
      </c>
      <c r="F443" s="22" t="n">
        <v>115</v>
      </c>
      <c r="G443" s="23" t="n">
        <v>7.4</v>
      </c>
      <c r="H443" t="inlineStr">
        <is>
          <t>Alex Proyas</t>
        </is>
      </c>
      <c r="I443" t="inlineStr">
        <is>
          <t>Estados Unidos</t>
        </is>
      </c>
      <c r="J443" t="inlineStr">
        <is>
          <t>Ciencia ficción, Acción</t>
        </is>
      </c>
      <c r="M443" s="6" t="n"/>
      <c r="O443" s="24" t="inlineStr"/>
      <c r="Q443" s="25" t="n"/>
      <c r="R443" s="25" t="n"/>
      <c r="S443" s="25" t="n"/>
      <c r="T443" s="25">
        <f>IF(AND(R443="",S443=""),"",N(R443)+N(S443))</f>
        <v/>
      </c>
      <c r="U443" s="25" t="n"/>
      <c r="V443" s="26" t="inlineStr">
        <is>
          <t>IMDb</t>
        </is>
      </c>
      <c r="W443" s="26" t="inlineStr">
        <is>
          <t>FilmAffinity</t>
        </is>
      </c>
      <c r="X443" s="26" t="inlineStr">
        <is>
          <t>Letterboxd</t>
        </is>
      </c>
    </row>
    <row r="444">
      <c r="A444" t="inlineStr">
        <is>
          <t>p0443</t>
        </is>
      </c>
      <c r="B444" t="inlineStr">
        <is>
          <t>Los Increíbles</t>
        </is>
      </c>
      <c r="C444" t="inlineStr">
        <is>
          <t>The Incredibles</t>
        </is>
      </c>
      <c r="D444" s="4" t="n">
        <v>2004</v>
      </c>
      <c r="E444" s="4">
        <f>IF(D444="","",FLOOR(D444,10))</f>
        <v/>
      </c>
      <c r="F444" s="22" t="n">
        <v>115</v>
      </c>
      <c r="G444" s="23" t="n">
        <v>7.3</v>
      </c>
      <c r="H444" t="inlineStr">
        <is>
          <t>Brad Bird</t>
        </is>
      </c>
      <c r="I444" t="inlineStr">
        <is>
          <t>Estados Unidos</t>
        </is>
      </c>
      <c r="J444" t="inlineStr">
        <is>
          <t>Animación, Superhéroes, Acción</t>
        </is>
      </c>
      <c r="M444" s="6" t="n"/>
      <c r="O444" s="24" t="inlineStr"/>
      <c r="Q444" s="25" t="n"/>
      <c r="R444" s="25" t="n"/>
      <c r="S444" s="25" t="n"/>
      <c r="T444" s="25">
        <f>IF(AND(R444="",S444=""),"",N(R444)+N(S444))</f>
        <v/>
      </c>
      <c r="U444" s="25" t="n"/>
      <c r="V444" s="26" t="inlineStr">
        <is>
          <t>IMDb</t>
        </is>
      </c>
      <c r="W444" s="26" t="inlineStr">
        <is>
          <t>FilmAffinity</t>
        </is>
      </c>
      <c r="X444" s="26" t="inlineStr">
        <is>
          <t>Letterboxd</t>
        </is>
      </c>
    </row>
    <row r="445">
      <c r="A445" t="inlineStr">
        <is>
          <t>p0444</t>
        </is>
      </c>
      <c r="B445" t="inlineStr">
        <is>
          <t>Spider-Man 2</t>
        </is>
      </c>
      <c r="C445" t="inlineStr">
        <is>
          <t>Spider-Man 2</t>
        </is>
      </c>
      <c r="D445" s="4" t="n">
        <v>2004</v>
      </c>
      <c r="E445" s="4">
        <f>IF(D445="","",FLOOR(D445,10))</f>
        <v/>
      </c>
      <c r="F445" s="22" t="n">
        <v>127</v>
      </c>
      <c r="G445" s="23" t="n">
        <v>7</v>
      </c>
      <c r="H445" t="inlineStr">
        <is>
          <t>Sam Raimi</t>
        </is>
      </c>
      <c r="I445" t="inlineStr">
        <is>
          <t>Estados Unidos</t>
        </is>
      </c>
      <c r="J445" t="inlineStr">
        <is>
          <t>Superhéroes, Acción</t>
        </is>
      </c>
      <c r="K445" t="inlineStr">
        <is>
          <t>Spider-Man</t>
        </is>
      </c>
      <c r="M445" s="6" t="n"/>
      <c r="O445" s="24" t="inlineStr"/>
      <c r="Q445" s="25" t="n"/>
      <c r="R445" s="25" t="n"/>
      <c r="S445" s="25" t="n"/>
      <c r="T445" s="25">
        <f>IF(AND(R445="",S445=""),"",N(R445)+N(S445))</f>
        <v/>
      </c>
      <c r="U445" s="25" t="n"/>
      <c r="V445" s="26" t="inlineStr">
        <is>
          <t>IMDb</t>
        </is>
      </c>
      <c r="W445" s="26" t="inlineStr">
        <is>
          <t>FilmAffinity</t>
        </is>
      </c>
      <c r="X445" s="26" t="inlineStr">
        <is>
          <t>Letterboxd</t>
        </is>
      </c>
    </row>
    <row r="446">
      <c r="A446" t="inlineStr">
        <is>
          <t>p0445</t>
        </is>
      </c>
      <c r="B446" t="inlineStr">
        <is>
          <t>Zombies Party</t>
        </is>
      </c>
      <c r="C446" t="inlineStr">
        <is>
          <t>Shaun of the Dead</t>
        </is>
      </c>
      <c r="D446" s="4" t="n">
        <v>2004</v>
      </c>
      <c r="E446" s="4">
        <f>IF(D446="","",FLOOR(D446,10))</f>
        <v/>
      </c>
      <c r="F446" s="22" t="n">
        <v>99</v>
      </c>
      <c r="G446" s="23" t="n">
        <v>6.8</v>
      </c>
      <c r="H446" t="inlineStr">
        <is>
          <t>Edgar Wright</t>
        </is>
      </c>
      <c r="I446" t="inlineStr">
        <is>
          <t>Reino Unido</t>
        </is>
      </c>
      <c r="J446" t="inlineStr">
        <is>
          <t>Comedia, Terror</t>
        </is>
      </c>
      <c r="M446" s="6" t="n"/>
      <c r="O446" s="24" t="inlineStr"/>
      <c r="Q446" s="25" t="n"/>
      <c r="R446" s="25" t="n"/>
      <c r="S446" s="25" t="n"/>
      <c r="T446" s="25">
        <f>IF(AND(R446="",S446=""),"",N(R446)+N(S446))</f>
        <v/>
      </c>
      <c r="U446" s="25" t="n"/>
      <c r="V446" s="26" t="inlineStr">
        <is>
          <t>IMDb</t>
        </is>
      </c>
      <c r="W446" s="26" t="inlineStr">
        <is>
          <t>FilmAffinity</t>
        </is>
      </c>
      <c r="X446" s="26" t="inlineStr">
        <is>
          <t>Letterboxd</t>
        </is>
      </c>
    </row>
    <row r="447">
      <c r="A447" t="inlineStr">
        <is>
          <t>p0446</t>
        </is>
      </c>
      <c r="B447" t="inlineStr">
        <is>
          <t>Le Llamaban Shin Chan</t>
        </is>
      </c>
      <c r="C447" t="inlineStr">
        <is>
          <t>Crayon Shin-chan: The Storm Called: The Kasukabe Boys of the Evening Sun</t>
        </is>
      </c>
      <c r="D447" s="4" t="n">
        <v>2004</v>
      </c>
      <c r="E447" s="4">
        <f>IF(D447="","",FLOOR(D447,10))</f>
        <v/>
      </c>
      <c r="F447" s="22" t="n">
        <v>95</v>
      </c>
      <c r="G447" s="23" t="n">
        <v>6.3</v>
      </c>
      <c r="H447" t="inlineStr">
        <is>
          <t>Tsutomu Mizushima</t>
        </is>
      </c>
      <c r="I447" t="inlineStr">
        <is>
          <t>Japón</t>
        </is>
      </c>
      <c r="J447" t="inlineStr">
        <is>
          <t>Animación, Comedia</t>
        </is>
      </c>
      <c r="K447" t="inlineStr">
        <is>
          <t>Shin Chan</t>
        </is>
      </c>
      <c r="M447" s="6" t="n"/>
      <c r="O447" s="24" t="inlineStr"/>
      <c r="Q447" s="25" t="n"/>
      <c r="R447" s="25" t="n"/>
      <c r="S447" s="25" t="n"/>
      <c r="T447" s="25">
        <f>IF(AND(R447="",S447=""),"",N(R447)+N(S447))</f>
        <v/>
      </c>
      <c r="U447" s="25" t="n"/>
      <c r="V447" s="26" t="inlineStr">
        <is>
          <t>IMDb</t>
        </is>
      </c>
      <c r="W447" s="26" t="inlineStr">
        <is>
          <t>FilmAffinity</t>
        </is>
      </c>
      <c r="X447" s="26" t="inlineStr">
        <is>
          <t>Letterboxd</t>
        </is>
      </c>
    </row>
    <row r="448">
      <c r="A448" t="inlineStr">
        <is>
          <t>p0447</t>
        </is>
      </c>
      <c r="B448" t="inlineStr">
        <is>
          <t>Oldboy</t>
        </is>
      </c>
      <c r="C448" t="inlineStr">
        <is>
          <t>Oldboy</t>
        </is>
      </c>
      <c r="D448" s="4" t="n">
        <v>2003</v>
      </c>
      <c r="E448" s="4">
        <f>IF(D448="","",FLOOR(D448,10))</f>
        <v/>
      </c>
      <c r="F448" s="22" t="n">
        <v>120</v>
      </c>
      <c r="G448" s="23" t="n">
        <v>9.1</v>
      </c>
      <c r="H448" t="inlineStr">
        <is>
          <t>Park Chan-wook</t>
        </is>
      </c>
      <c r="I448" t="inlineStr">
        <is>
          <t>Corea del Sur</t>
        </is>
      </c>
      <c r="J448" t="inlineStr">
        <is>
          <t>Thriller, Misterio, Drama</t>
        </is>
      </c>
      <c r="M448" s="6" t="n"/>
      <c r="O448" s="24" t="inlineStr"/>
      <c r="Q448" s="25" t="n"/>
      <c r="R448" s="25" t="n"/>
      <c r="S448" s="25" t="n"/>
      <c r="T448" s="25">
        <f>IF(AND(R448="",S448=""),"",N(R448)+N(S448))</f>
        <v/>
      </c>
      <c r="U448" s="25" t="n"/>
      <c r="V448" s="26" t="inlineStr">
        <is>
          <t>IMDb</t>
        </is>
      </c>
      <c r="W448" s="26" t="inlineStr">
        <is>
          <t>FilmAffinity</t>
        </is>
      </c>
      <c r="X448" s="26" t="inlineStr">
        <is>
          <t>Letterboxd</t>
        </is>
      </c>
    </row>
    <row r="449">
      <c r="A449" t="inlineStr">
        <is>
          <t>p0448</t>
        </is>
      </c>
      <c r="B449" t="inlineStr">
        <is>
          <t>El Señor de los Anillos: el retorno del Rey</t>
        </is>
      </c>
      <c r="C449" t="inlineStr">
        <is>
          <t>The Lord of the Rings: The Return of the King</t>
        </is>
      </c>
      <c r="D449" s="4" t="n">
        <v>2003</v>
      </c>
      <c r="E449" s="4">
        <f>IF(D449="","",FLOOR(D449,10))</f>
        <v/>
      </c>
      <c r="F449" s="22" t="n">
        <v>180</v>
      </c>
      <c r="G449" s="23" t="n">
        <v>8.9</v>
      </c>
      <c r="H449" t="inlineStr">
        <is>
          <t>Peter Jackson</t>
        </is>
      </c>
      <c r="I449" t="inlineStr">
        <is>
          <t>Nueva Zelanda</t>
        </is>
      </c>
      <c r="J449" t="inlineStr">
        <is>
          <t>Fantasía, Aventura</t>
        </is>
      </c>
      <c r="K449" t="inlineStr">
        <is>
          <t>El Señor de los Anillos</t>
        </is>
      </c>
      <c r="M449" s="6" t="n"/>
      <c r="O449" s="24" t="inlineStr"/>
      <c r="Q449" s="25" t="n">
        <v>72629713</v>
      </c>
      <c r="R449" s="25" t="n">
        <v>386975644</v>
      </c>
      <c r="S449" s="25" t="n">
        <v>762054079</v>
      </c>
      <c r="T449" s="25">
        <f>IF(AND(R449="",S449=""),"",N(R449)+N(S449))</f>
        <v/>
      </c>
      <c r="U449" s="25" t="n"/>
      <c r="V449" s="26" t="inlineStr">
        <is>
          <t>IMDb</t>
        </is>
      </c>
      <c r="W449" s="26" t="inlineStr">
        <is>
          <t>FilmAffinity</t>
        </is>
      </c>
      <c r="X449" s="26" t="inlineStr">
        <is>
          <t>Letterboxd</t>
        </is>
      </c>
    </row>
    <row r="450">
      <c r="A450" t="inlineStr">
        <is>
          <t>p0449</t>
        </is>
      </c>
      <c r="B450" t="inlineStr">
        <is>
          <t>Mystic River</t>
        </is>
      </c>
      <c r="C450" t="inlineStr">
        <is>
          <t>Mystic River</t>
        </is>
      </c>
      <c r="D450" s="4" t="n">
        <v>2003</v>
      </c>
      <c r="E450" s="4">
        <f>IF(D450="","",FLOOR(D450,10))</f>
        <v/>
      </c>
      <c r="F450" s="22" t="n">
        <v>137</v>
      </c>
      <c r="G450" s="23" t="n">
        <v>8.300000000000001</v>
      </c>
      <c r="H450" t="inlineStr">
        <is>
          <t>Clint Eastwood</t>
        </is>
      </c>
      <c r="I450" t="inlineStr">
        <is>
          <t>Estados Unidos</t>
        </is>
      </c>
      <c r="J450" t="inlineStr">
        <is>
          <t>Drama, Crimen, Misterio</t>
        </is>
      </c>
      <c r="M450" s="6" t="n"/>
      <c r="O450" s="24" t="inlineStr"/>
      <c r="Q450" s="25" t="n">
        <v>640815</v>
      </c>
      <c r="R450" s="25" t="n">
        <v>90135191</v>
      </c>
      <c r="S450" s="25" t="n">
        <v>66460000</v>
      </c>
      <c r="T450" s="25">
        <f>IF(AND(R450="",S450=""),"",N(R450)+N(S450))</f>
        <v/>
      </c>
      <c r="U450" s="25" t="n"/>
      <c r="V450" s="26" t="inlineStr">
        <is>
          <t>IMDb</t>
        </is>
      </c>
      <c r="W450" s="26" t="inlineStr">
        <is>
          <t>FilmAffinity</t>
        </is>
      </c>
      <c r="X450" s="26" t="inlineStr">
        <is>
          <t>Letterboxd</t>
        </is>
      </c>
    </row>
    <row r="451">
      <c r="A451" t="inlineStr">
        <is>
          <t>p0450</t>
        </is>
      </c>
      <c r="B451" t="inlineStr">
        <is>
          <t>Love Actually</t>
        </is>
      </c>
      <c r="C451" t="inlineStr">
        <is>
          <t>Love Actually</t>
        </is>
      </c>
      <c r="D451" s="4" t="n">
        <v>2003</v>
      </c>
      <c r="E451" s="4">
        <f>IF(D451="","",FLOOR(D451,10))</f>
        <v/>
      </c>
      <c r="F451" s="22" t="n">
        <v>128</v>
      </c>
      <c r="G451" s="23" t="n">
        <v>8.199999999999999</v>
      </c>
      <c r="H451" t="inlineStr">
        <is>
          <t>Richard Curtis</t>
        </is>
      </c>
      <c r="I451" t="inlineStr">
        <is>
          <t>Reino Unido</t>
        </is>
      </c>
      <c r="J451" t="inlineStr">
        <is>
          <t>Romance, Comedia</t>
        </is>
      </c>
      <c r="M451" s="6" t="n"/>
      <c r="O451" s="24" t="inlineStr"/>
      <c r="Q451" s="25" t="n"/>
      <c r="R451" s="25" t="n"/>
      <c r="S451" s="25" t="n"/>
      <c r="T451" s="25">
        <f>IF(AND(R451="",S451=""),"",N(R451)+N(S451))</f>
        <v/>
      </c>
      <c r="U451" s="25" t="n"/>
      <c r="V451" s="26" t="inlineStr">
        <is>
          <t>IMDb</t>
        </is>
      </c>
      <c r="W451" s="26" t="inlineStr">
        <is>
          <t>FilmAffinity</t>
        </is>
      </c>
      <c r="X451" s="26" t="inlineStr">
        <is>
          <t>Letterboxd</t>
        </is>
      </c>
    </row>
    <row r="452">
      <c r="A452" t="inlineStr">
        <is>
          <t>p0451</t>
        </is>
      </c>
      <c r="B452" t="inlineStr">
        <is>
          <t>Buscando a Nemo</t>
        </is>
      </c>
      <c r="C452" t="inlineStr">
        <is>
          <t>Finding Nemo</t>
        </is>
      </c>
      <c r="D452" s="4" t="n">
        <v>2003</v>
      </c>
      <c r="E452" s="4">
        <f>IF(D452="","",FLOOR(D452,10))</f>
        <v/>
      </c>
      <c r="F452" s="22" t="n">
        <v>101</v>
      </c>
      <c r="G452" s="23" t="n">
        <v>7.6</v>
      </c>
      <c r="H452" t="inlineStr">
        <is>
          <t>Andrew Stanton / Lee Unkrich</t>
        </is>
      </c>
      <c r="I452" t="inlineStr">
        <is>
          <t>Estados Unidos</t>
        </is>
      </c>
      <c r="J452" t="inlineStr">
        <is>
          <t>Animación, Aventura, Familiar</t>
        </is>
      </c>
      <c r="M452" s="6" t="n"/>
      <c r="O452" s="24" t="inlineStr"/>
      <c r="Q452" s="25" t="n"/>
      <c r="R452" s="25" t="n"/>
      <c r="S452" s="25" t="n"/>
      <c r="T452" s="25">
        <f>IF(AND(R452="",S452=""),"",N(R452)+N(S452))</f>
        <v/>
      </c>
      <c r="U452" s="25" t="n"/>
      <c r="V452" s="26" t="inlineStr">
        <is>
          <t>IMDb</t>
        </is>
      </c>
      <c r="W452" s="26" t="inlineStr">
        <is>
          <t>FilmAffinity</t>
        </is>
      </c>
      <c r="X452" s="26" t="inlineStr">
        <is>
          <t>Letterboxd</t>
        </is>
      </c>
    </row>
    <row r="453">
      <c r="A453" t="inlineStr">
        <is>
          <t>p0452</t>
        </is>
      </c>
      <c r="B453" t="inlineStr">
        <is>
          <t>Good Bye, Lenin!</t>
        </is>
      </c>
      <c r="C453" t="inlineStr">
        <is>
          <t>Good Bye, Lenin!</t>
        </is>
      </c>
      <c r="D453" s="4" t="n">
        <v>2003</v>
      </c>
      <c r="E453" s="4">
        <f>IF(D453="","",FLOOR(D453,10))</f>
        <v/>
      </c>
      <c r="F453" s="22" t="n">
        <v>118</v>
      </c>
      <c r="G453" s="23" t="n">
        <v>7.3</v>
      </c>
      <c r="H453" t="inlineStr">
        <is>
          <t>Wolfgang Becker</t>
        </is>
      </c>
      <c r="I453" t="inlineStr">
        <is>
          <t>Alemania</t>
        </is>
      </c>
      <c r="J453" t="inlineStr">
        <is>
          <t>Comedia, Drama</t>
        </is>
      </c>
      <c r="M453" s="6" t="n"/>
      <c r="O453" s="24" t="inlineStr"/>
      <c r="Q453" s="25" t="n"/>
      <c r="R453" s="25" t="n"/>
      <c r="S453" s="25" t="n"/>
      <c r="T453" s="25">
        <f>IF(AND(R453="",S453=""),"",N(R453)+N(S453))</f>
        <v/>
      </c>
      <c r="U453" s="25" t="n"/>
      <c r="V453" s="26" t="inlineStr">
        <is>
          <t>IMDb</t>
        </is>
      </c>
      <c r="W453" s="26" t="inlineStr">
        <is>
          <t>FilmAffinity</t>
        </is>
      </c>
      <c r="X453" s="26" t="inlineStr">
        <is>
          <t>Letterboxd</t>
        </is>
      </c>
    </row>
    <row r="454">
      <c r="A454" t="inlineStr">
        <is>
          <t>p0453</t>
        </is>
      </c>
      <c r="B454" t="inlineStr">
        <is>
          <t>Kill Bill: Volumen 1</t>
        </is>
      </c>
      <c r="C454" t="inlineStr">
        <is>
          <t>Kill Bill: Volume 1</t>
        </is>
      </c>
      <c r="D454" s="4" t="n">
        <v>2003</v>
      </c>
      <c r="E454" s="4">
        <f>IF(D454="","",FLOOR(D454,10))</f>
        <v/>
      </c>
      <c r="F454" s="22" t="n">
        <v>110</v>
      </c>
      <c r="G454" s="23" t="n">
        <v>6.8</v>
      </c>
      <c r="H454" t="inlineStr">
        <is>
          <t>Quentin Tarantino</t>
        </is>
      </c>
      <c r="I454" t="inlineStr">
        <is>
          <t>Estados Unidos</t>
        </is>
      </c>
      <c r="J454" t="inlineStr">
        <is>
          <t>Acción, Crimen</t>
        </is>
      </c>
      <c r="M454" s="6" t="n"/>
      <c r="O454" s="24" t="inlineStr"/>
      <c r="Q454" s="25" t="n">
        <v>22200000</v>
      </c>
      <c r="R454" s="25" t="n">
        <v>70099045</v>
      </c>
      <c r="S454" s="25" t="n">
        <v>110807031</v>
      </c>
      <c r="T454" s="25">
        <f>IF(AND(R454="",S454=""),"",N(R454)+N(S454))</f>
        <v/>
      </c>
      <c r="U454" s="25" t="n"/>
      <c r="V454" s="26" t="inlineStr">
        <is>
          <t>IMDb</t>
        </is>
      </c>
      <c r="W454" s="26" t="inlineStr">
        <is>
          <t>FilmAffinity</t>
        </is>
      </c>
      <c r="X454" s="26" t="inlineStr">
        <is>
          <t>Letterboxd</t>
        </is>
      </c>
    </row>
    <row r="455">
      <c r="A455" t="inlineStr">
        <is>
          <t>p0454</t>
        </is>
      </c>
      <c r="B455" t="inlineStr">
        <is>
          <t>La gran aventura de Mortadelo y Filemón</t>
        </is>
      </c>
      <c r="C455" t="inlineStr">
        <is>
          <t>La gran aventura de Mortadelo y Filemón</t>
        </is>
      </c>
      <c r="D455" s="4" t="n">
        <v>2003</v>
      </c>
      <c r="E455" s="4">
        <f>IF(D455="","",FLOOR(D455,10))</f>
        <v/>
      </c>
      <c r="F455" s="22" t="n">
        <v>105</v>
      </c>
      <c r="G455" s="23" t="n">
        <v>6.7</v>
      </c>
      <c r="H455" t="inlineStr">
        <is>
          <t>Javier Fesser</t>
        </is>
      </c>
      <c r="I455" t="inlineStr">
        <is>
          <t>España</t>
        </is>
      </c>
      <c r="J455" t="inlineStr">
        <is>
          <t>Comedia</t>
        </is>
      </c>
      <c r="M455" s="6" t="n"/>
      <c r="O455" s="24" t="inlineStr"/>
      <c r="Q455" s="25" t="n"/>
      <c r="R455" s="25" t="n"/>
      <c r="S455" s="25" t="n"/>
      <c r="T455" s="25">
        <f>IF(AND(R455="",S455=""),"",N(R455)+N(S455))</f>
        <v/>
      </c>
      <c r="U455" s="25" t="n"/>
      <c r="V455" s="26" t="inlineStr">
        <is>
          <t>IMDb</t>
        </is>
      </c>
      <c r="W455" s="26" t="inlineStr">
        <is>
          <t>FilmAffinity</t>
        </is>
      </c>
      <c r="X455" s="26" t="inlineStr">
        <is>
          <t>Letterboxd</t>
        </is>
      </c>
    </row>
    <row r="456">
      <c r="A456" t="inlineStr">
        <is>
          <t>p0455</t>
        </is>
      </c>
      <c r="B456" t="inlineStr">
        <is>
          <t>Fast &amp; Furious 2</t>
        </is>
      </c>
      <c r="C456" t="inlineStr">
        <is>
          <t>2 Fast 2 Furious</t>
        </is>
      </c>
      <c r="D456" s="4" t="n">
        <v>2003</v>
      </c>
      <c r="E456" s="4">
        <f>IF(D456="","",FLOOR(D456,10))</f>
        <v/>
      </c>
      <c r="F456" s="22" t="n">
        <v>100</v>
      </c>
      <c r="G456" s="23" t="n">
        <v>6.3</v>
      </c>
      <c r="H456" t="inlineStr">
        <is>
          <t>John Singleton</t>
        </is>
      </c>
      <c r="I456" t="inlineStr">
        <is>
          <t>Estados Unidos</t>
        </is>
      </c>
      <c r="J456" t="inlineStr">
        <is>
          <t>Acción</t>
        </is>
      </c>
      <c r="K456" t="inlineStr">
        <is>
          <t>Fast &amp; Furious</t>
        </is>
      </c>
      <c r="M456" s="6" t="n"/>
      <c r="O456" s="24" t="inlineStr"/>
      <c r="Q456" s="25" t="n"/>
      <c r="R456" s="25" t="n"/>
      <c r="S456" s="25" t="n"/>
      <c r="T456" s="25">
        <f>IF(AND(R456="",S456=""),"",N(R456)+N(S456))</f>
        <v/>
      </c>
      <c r="U456" s="25" t="n"/>
      <c r="V456" s="26" t="inlineStr">
        <is>
          <t>IMDb</t>
        </is>
      </c>
      <c r="W456" s="26" t="inlineStr">
        <is>
          <t>FilmAffinity</t>
        </is>
      </c>
      <c r="X456" s="26" t="inlineStr">
        <is>
          <t>Letterboxd</t>
        </is>
      </c>
    </row>
    <row r="457">
      <c r="A457" t="inlineStr">
        <is>
          <t>p0456</t>
        </is>
      </c>
      <c r="B457" t="inlineStr">
        <is>
          <t>Escuela de rock</t>
        </is>
      </c>
      <c r="C457" t="inlineStr">
        <is>
          <t>School of Rock</t>
        </is>
      </c>
      <c r="D457" s="4" t="n">
        <v>2003</v>
      </c>
      <c r="E457" s="4">
        <f>IF(D457="","",FLOOR(D457,10))</f>
        <v/>
      </c>
      <c r="F457" s="22" t="n">
        <v>108</v>
      </c>
      <c r="G457" s="23" t="n">
        <v>5.7</v>
      </c>
      <c r="H457" t="inlineStr">
        <is>
          <t>Richard Linklater</t>
        </is>
      </c>
      <c r="I457" t="inlineStr">
        <is>
          <t>Estados Unidos</t>
        </is>
      </c>
      <c r="J457" t="inlineStr">
        <is>
          <t>Comedia, Musical</t>
        </is>
      </c>
      <c r="M457" s="6" t="n"/>
      <c r="O457" s="24" t="inlineStr"/>
      <c r="Q457" s="25" t="n"/>
      <c r="R457" s="25" t="n"/>
      <c r="S457" s="25" t="n"/>
      <c r="T457" s="25">
        <f>IF(AND(R457="",S457=""),"",N(R457)+N(S457))</f>
        <v/>
      </c>
      <c r="U457" s="25" t="n"/>
      <c r="V457" s="26" t="inlineStr">
        <is>
          <t>IMDb</t>
        </is>
      </c>
      <c r="W457" s="26" t="inlineStr">
        <is>
          <t>FilmAffinity</t>
        </is>
      </c>
      <c r="X457" s="26" t="inlineStr">
        <is>
          <t>Letterboxd</t>
        </is>
      </c>
    </row>
    <row r="458">
      <c r="A458" t="inlineStr">
        <is>
          <t>p0457</t>
        </is>
      </c>
      <c r="B458" t="inlineStr">
        <is>
          <t>Scary Movie 3</t>
        </is>
      </c>
      <c r="C458" t="inlineStr">
        <is>
          <t>Scary Movie 3</t>
        </is>
      </c>
      <c r="D458" s="4" t="n">
        <v>2003</v>
      </c>
      <c r="E458" s="4">
        <f>IF(D458="","",FLOOR(D458,10))</f>
        <v/>
      </c>
      <c r="F458" s="22" t="n">
        <v>90</v>
      </c>
      <c r="G458" s="23" t="n">
        <v>5.6</v>
      </c>
      <c r="H458" t="inlineStr">
        <is>
          <t>David Zucker</t>
        </is>
      </c>
      <c r="I458" t="inlineStr">
        <is>
          <t>Estados Unidos</t>
        </is>
      </c>
      <c r="J458" t="inlineStr">
        <is>
          <t>Comedia, Terror</t>
        </is>
      </c>
      <c r="K458" t="inlineStr">
        <is>
          <t>Scary Movie</t>
        </is>
      </c>
      <c r="M458" s="6" t="n"/>
      <c r="O458" s="24" t="inlineStr"/>
      <c r="Q458" s="25" t="n"/>
      <c r="R458" s="25" t="n"/>
      <c r="S458" s="25" t="n"/>
      <c r="T458" s="25">
        <f>IF(AND(R458="",S458=""),"",N(R458)+N(S458))</f>
        <v/>
      </c>
      <c r="U458" s="25" t="n"/>
      <c r="V458" s="26" t="inlineStr">
        <is>
          <t>IMDb</t>
        </is>
      </c>
      <c r="W458" s="26" t="inlineStr">
        <is>
          <t>FilmAffinity</t>
        </is>
      </c>
      <c r="X458" s="26" t="inlineStr">
        <is>
          <t>Letterboxd</t>
        </is>
      </c>
    </row>
    <row r="459">
      <c r="A459" t="inlineStr">
        <is>
          <t>p0458</t>
        </is>
      </c>
      <c r="B459" t="inlineStr">
        <is>
          <t>Como Dios</t>
        </is>
      </c>
      <c r="C459" t="inlineStr">
        <is>
          <t>Bruce Almighty</t>
        </is>
      </c>
      <c r="D459" s="4" t="n">
        <v>2003</v>
      </c>
      <c r="E459" s="4">
        <f>IF(D459="","",FLOOR(D459,10))</f>
        <v/>
      </c>
      <c r="F459" s="22" t="n">
        <v>101</v>
      </c>
      <c r="G459" s="23" t="n">
        <v>5.1</v>
      </c>
      <c r="H459" t="inlineStr">
        <is>
          <t>Tom Shadyac</t>
        </is>
      </c>
      <c r="I459" t="inlineStr">
        <is>
          <t>Estados Unidos</t>
        </is>
      </c>
      <c r="J459" t="inlineStr">
        <is>
          <t>Comedia, Fantasía</t>
        </is>
      </c>
      <c r="M459" s="6" t="n"/>
      <c r="O459" s="24" t="inlineStr"/>
      <c r="Q459" s="25" t="n"/>
      <c r="R459" s="25" t="n"/>
      <c r="S459" s="25" t="n"/>
      <c r="T459" s="25">
        <f>IF(AND(R459="",S459=""),"",N(R459)+N(S459))</f>
        <v/>
      </c>
      <c r="U459" s="25" t="n"/>
      <c r="V459" s="26" t="inlineStr">
        <is>
          <t>IMDb</t>
        </is>
      </c>
      <c r="W459" s="26" t="inlineStr">
        <is>
          <t>FilmAffinity</t>
        </is>
      </c>
      <c r="X459" s="26" t="inlineStr">
        <is>
          <t>Letterboxd</t>
        </is>
      </c>
    </row>
    <row r="460">
      <c r="A460" t="inlineStr">
        <is>
          <t>p0459</t>
        </is>
      </c>
      <c r="B460" t="inlineStr">
        <is>
          <t>El pianista</t>
        </is>
      </c>
      <c r="C460" t="inlineStr">
        <is>
          <t>The Pianist</t>
        </is>
      </c>
      <c r="D460" s="4" t="n">
        <v>2002</v>
      </c>
      <c r="E460" s="4">
        <f>IF(D460="","",FLOOR(D460,10))</f>
        <v/>
      </c>
      <c r="F460" s="22" t="n">
        <v>148</v>
      </c>
      <c r="G460" s="23" t="n">
        <v>8.5</v>
      </c>
      <c r="H460" t="inlineStr">
        <is>
          <t>Roman Polanski</t>
        </is>
      </c>
      <c r="I460" t="inlineStr">
        <is>
          <t>Reino Unido</t>
        </is>
      </c>
      <c r="J460" t="inlineStr">
        <is>
          <t>Drama, Bélico, Biográfico</t>
        </is>
      </c>
      <c r="M460" s="6" t="n"/>
      <c r="O460" s="24" t="inlineStr"/>
      <c r="Q460" s="25" t="n"/>
      <c r="R460" s="25" t="n"/>
      <c r="S460" s="25" t="n"/>
      <c r="T460" s="25">
        <f>IF(AND(R460="",S460=""),"",N(R460)+N(S460))</f>
        <v/>
      </c>
      <c r="U460" s="25" t="n"/>
      <c r="V460" s="26" t="inlineStr">
        <is>
          <t>IMDb</t>
        </is>
      </c>
      <c r="W460" s="26" t="inlineStr">
        <is>
          <t>FilmAffinity</t>
        </is>
      </c>
      <c r="X460" s="26" t="inlineStr">
        <is>
          <t>Letterboxd</t>
        </is>
      </c>
    </row>
    <row r="461">
      <c r="A461" t="inlineStr">
        <is>
          <t>p0460</t>
        </is>
      </c>
      <c r="B461" t="inlineStr">
        <is>
          <t>El Señor de los Anillos: las dos torres</t>
        </is>
      </c>
      <c r="C461" t="inlineStr">
        <is>
          <t>The Lord of the Rings: The Two Towers</t>
        </is>
      </c>
      <c r="D461" s="4" t="n">
        <v>2002</v>
      </c>
      <c r="E461" s="4">
        <f>IF(D461="","",FLOOR(D461,10))</f>
        <v/>
      </c>
      <c r="F461" s="22" t="n">
        <v>179</v>
      </c>
      <c r="G461" s="23" t="n">
        <v>7.9</v>
      </c>
      <c r="H461" t="inlineStr">
        <is>
          <t>Peter Jackson</t>
        </is>
      </c>
      <c r="I461" t="inlineStr">
        <is>
          <t>Nueva Zelanda</t>
        </is>
      </c>
      <c r="J461" t="inlineStr">
        <is>
          <t>Fantasía, Aventura</t>
        </is>
      </c>
      <c r="K461" t="inlineStr">
        <is>
          <t>El Señor de los Anillos</t>
        </is>
      </c>
      <c r="M461" s="6" t="n"/>
      <c r="O461" s="24" t="inlineStr"/>
      <c r="Q461" s="25" t="n"/>
      <c r="R461" s="25" t="n"/>
      <c r="S461" s="25" t="n"/>
      <c r="T461" s="25">
        <f>IF(AND(R461="",S461=""),"",N(R461)+N(S461))</f>
        <v/>
      </c>
      <c r="U461" s="25" t="n"/>
      <c r="V461" s="26" t="inlineStr">
        <is>
          <t>IMDb</t>
        </is>
      </c>
      <c r="W461" s="26" t="inlineStr">
        <is>
          <t>FilmAffinity</t>
        </is>
      </c>
      <c r="X461" s="26" t="inlineStr">
        <is>
          <t>Letterboxd</t>
        </is>
      </c>
    </row>
    <row r="462">
      <c r="A462" t="inlineStr">
        <is>
          <t>p0461</t>
        </is>
      </c>
      <c r="B462" t="inlineStr">
        <is>
          <t>Ice Age</t>
        </is>
      </c>
      <c r="C462" t="inlineStr">
        <is>
          <t>Ice Age</t>
        </is>
      </c>
      <c r="D462" s="4" t="n">
        <v>2002</v>
      </c>
      <c r="E462" s="4">
        <f>IF(D462="","",FLOOR(D462,10))</f>
        <v/>
      </c>
      <c r="F462" s="22" t="n">
        <v>75</v>
      </c>
      <c r="G462" s="23" t="n">
        <v>7.2</v>
      </c>
      <c r="H462" t="inlineStr">
        <is>
          <t>Chris Wedge / Carlos Saldanha</t>
        </is>
      </c>
      <c r="I462" t="inlineStr">
        <is>
          <t>Estados Unidos</t>
        </is>
      </c>
      <c r="J462" t="inlineStr">
        <is>
          <t>Animación, Comedia, Familiar</t>
        </is>
      </c>
      <c r="K462" t="inlineStr">
        <is>
          <t>Ice Age</t>
        </is>
      </c>
      <c r="M462" s="6" t="n"/>
      <c r="O462" s="24" t="inlineStr"/>
      <c r="Q462" s="25" t="n"/>
      <c r="R462" s="25" t="n"/>
      <c r="S462" s="25" t="n"/>
      <c r="T462" s="25">
        <f>IF(AND(R462="",S462=""),"",N(R462)+N(S462))</f>
        <v/>
      </c>
      <c r="U462" s="25" t="n"/>
      <c r="V462" s="26" t="inlineStr">
        <is>
          <t>IMDb</t>
        </is>
      </c>
      <c r="W462" s="26" t="inlineStr">
        <is>
          <t>FilmAffinity</t>
        </is>
      </c>
      <c r="X462" s="26" t="inlineStr">
        <is>
          <t>Letterboxd</t>
        </is>
      </c>
    </row>
    <row r="463">
      <c r="A463" t="inlineStr">
        <is>
          <t>p0462</t>
        </is>
      </c>
      <c r="B463" t="inlineStr">
        <is>
          <t>Spider-Man</t>
        </is>
      </c>
      <c r="C463" t="inlineStr">
        <is>
          <t>Spider-Man</t>
        </is>
      </c>
      <c r="D463" s="4" t="n">
        <v>2002</v>
      </c>
      <c r="E463" s="4">
        <f>IF(D463="","",FLOOR(D463,10))</f>
        <v/>
      </c>
      <c r="F463" s="22" t="n">
        <v>121</v>
      </c>
      <c r="G463" s="23" t="n">
        <v>7.1</v>
      </c>
      <c r="H463" t="inlineStr">
        <is>
          <t>Sam Raimi</t>
        </is>
      </c>
      <c r="I463" t="inlineStr">
        <is>
          <t>Estados Unidos</t>
        </is>
      </c>
      <c r="J463" t="inlineStr">
        <is>
          <t>Superhéroes, Acción</t>
        </is>
      </c>
      <c r="K463" t="inlineStr">
        <is>
          <t>Spider-Man</t>
        </is>
      </c>
      <c r="M463" s="6" t="n"/>
      <c r="O463" s="24" t="inlineStr"/>
      <c r="Q463" s="25" t="n"/>
      <c r="R463" s="25" t="n"/>
      <c r="S463" s="25" t="n"/>
      <c r="T463" s="25">
        <f>IF(AND(R463="",S463=""),"",N(R463)+N(S463))</f>
        <v/>
      </c>
      <c r="U463" s="25" t="n"/>
      <c r="V463" s="26" t="inlineStr">
        <is>
          <t>IMDb</t>
        </is>
      </c>
    </row>
    <row r="464">
      <c r="A464" t="inlineStr">
        <is>
          <t>p0463</t>
        </is>
      </c>
      <c r="B464" t="inlineStr">
        <is>
          <t>Shin Chan: El Pequeño Samurai</t>
        </is>
      </c>
      <c r="C464" t="inlineStr">
        <is>
          <t>Crayon Shin-chan: The Battle of the Warring States</t>
        </is>
      </c>
      <c r="D464" s="4" t="n">
        <v>2002</v>
      </c>
      <c r="E464" s="4">
        <f>IF(D464="","",FLOOR(D464,10))</f>
        <v/>
      </c>
      <c r="F464" s="22" t="n">
        <v>95</v>
      </c>
      <c r="G464" s="23" t="n">
        <v>6.6</v>
      </c>
      <c r="H464" t="inlineStr">
        <is>
          <t>Keiichi Hara</t>
        </is>
      </c>
      <c r="I464" t="inlineStr">
        <is>
          <t>Japón</t>
        </is>
      </c>
      <c r="J464" t="inlineStr">
        <is>
          <t>Animación, Comedia</t>
        </is>
      </c>
      <c r="K464" t="inlineStr">
        <is>
          <t>Shin Chan</t>
        </is>
      </c>
      <c r="M464" s="6" t="n"/>
      <c r="O464" s="24" t="inlineStr"/>
      <c r="Q464" s="25" t="n"/>
      <c r="R464" s="25" t="n"/>
      <c r="S464" s="25" t="n"/>
      <c r="T464" s="25">
        <f>IF(AND(R464="",S464=""),"",N(R464)+N(S464))</f>
        <v/>
      </c>
      <c r="U464" s="25" t="n"/>
      <c r="V464" s="26" t="inlineStr">
        <is>
          <t>IMDb</t>
        </is>
      </c>
      <c r="W464" s="26" t="inlineStr">
        <is>
          <t>FilmAffinity</t>
        </is>
      </c>
      <c r="X464" s="26" t="inlineStr">
        <is>
          <t>Letterboxd</t>
        </is>
      </c>
    </row>
    <row r="465">
      <c r="A465" t="inlineStr">
        <is>
          <t>p0464</t>
        </is>
      </c>
      <c r="B465" t="inlineStr">
        <is>
          <t>Men in Black 2</t>
        </is>
      </c>
      <c r="C465" t="inlineStr">
        <is>
          <t>Men in Black II</t>
        </is>
      </c>
      <c r="D465" s="4" t="n">
        <v>2002</v>
      </c>
      <c r="E465" s="4">
        <f>IF(D465="","",FLOOR(D465,10))</f>
        <v/>
      </c>
      <c r="F465" s="22" t="n">
        <v>88</v>
      </c>
      <c r="G465" s="23" t="n">
        <v>6</v>
      </c>
      <c r="H465" t="inlineStr">
        <is>
          <t>Barry Sonnenfeld</t>
        </is>
      </c>
      <c r="I465" t="inlineStr">
        <is>
          <t>Estados Unidos</t>
        </is>
      </c>
      <c r="J465" t="inlineStr">
        <is>
          <t>Ciencia ficción, Comedia, Acción</t>
        </is>
      </c>
      <c r="K465" t="inlineStr">
        <is>
          <t>Men in Black</t>
        </is>
      </c>
      <c r="M465" s="6" t="n"/>
      <c r="O465" s="24" t="inlineStr"/>
      <c r="Q465" s="25" t="n"/>
      <c r="R465" s="25" t="n"/>
      <c r="S465" s="25" t="n"/>
      <c r="T465" s="25">
        <f>IF(AND(R465="",S465=""),"",N(R465)+N(S465))</f>
        <v/>
      </c>
      <c r="U465" s="25" t="n"/>
      <c r="V465" s="26" t="inlineStr">
        <is>
          <t>IMDb</t>
        </is>
      </c>
      <c r="W465" s="26" t="inlineStr">
        <is>
          <t>FilmAffinity</t>
        </is>
      </c>
      <c r="X465" s="26" t="inlineStr">
        <is>
          <t>Letterboxd</t>
        </is>
      </c>
    </row>
    <row r="466">
      <c r="A466" t="inlineStr">
        <is>
          <t>p0465</t>
        </is>
      </c>
      <c r="B466" t="inlineStr">
        <is>
          <t>Star Wars: Episodio II - El ataque de los clones</t>
        </is>
      </c>
      <c r="C466" t="inlineStr">
        <is>
          <t>Star Wars: Episode II – Attack of the Clones</t>
        </is>
      </c>
      <c r="D466" s="4" t="n">
        <v>2002</v>
      </c>
      <c r="E466" s="4">
        <f>IF(D466="","",FLOOR(D466,10))</f>
        <v/>
      </c>
      <c r="F466" s="22" t="n">
        <v>136</v>
      </c>
      <c r="G466" s="23" t="n">
        <v>5.9</v>
      </c>
      <c r="H466" t="inlineStr">
        <is>
          <t>George Lucas</t>
        </is>
      </c>
      <c r="I466" t="inlineStr">
        <is>
          <t>Estados Unidos</t>
        </is>
      </c>
      <c r="J466" t="inlineStr">
        <is>
          <t>Ciencia ficción, Aventura, Acción</t>
        </is>
      </c>
      <c r="K466" t="inlineStr">
        <is>
          <t>Star Wars</t>
        </is>
      </c>
      <c r="M466" s="6" t="n"/>
      <c r="O466" s="24" t="inlineStr"/>
      <c r="Q466" s="25" t="n">
        <v>80027814</v>
      </c>
      <c r="R466" s="25" t="n">
        <v>310676740</v>
      </c>
      <c r="S466" s="25" t="n">
        <v>343103230</v>
      </c>
      <c r="T466" s="25">
        <f>IF(AND(R466="",S466=""),"",N(R466)+N(S466))</f>
        <v/>
      </c>
      <c r="U466" s="25" t="n"/>
      <c r="V466" s="26" t="inlineStr">
        <is>
          <t>IMDb</t>
        </is>
      </c>
      <c r="W466" s="26" t="inlineStr">
        <is>
          <t>FilmAffinity</t>
        </is>
      </c>
      <c r="X466" s="26" t="inlineStr">
        <is>
          <t>Letterboxd</t>
        </is>
      </c>
    </row>
    <row r="467">
      <c r="A467" t="inlineStr">
        <is>
          <t>p0466</t>
        </is>
      </c>
      <c r="B467" t="inlineStr">
        <is>
          <t>El viaje de Chihiro</t>
        </is>
      </c>
      <c r="C467" t="inlineStr">
        <is>
          <t>Spirited Away</t>
        </is>
      </c>
      <c r="D467" s="4" t="n">
        <v>2001</v>
      </c>
      <c r="E467" s="4">
        <f>IF(D467="","",FLOOR(D467,10))</f>
        <v/>
      </c>
      <c r="F467" s="22" t="n">
        <v>124</v>
      </c>
      <c r="G467" s="23" t="n">
        <v>9.5</v>
      </c>
      <c r="H467" t="inlineStr">
        <is>
          <t>Hayao Miyazaki</t>
        </is>
      </c>
      <c r="I467" t="inlineStr">
        <is>
          <t>Japón</t>
        </is>
      </c>
      <c r="J467" t="inlineStr">
        <is>
          <t>Animación, Fantasía, Aventura</t>
        </is>
      </c>
      <c r="M467" s="6" t="n"/>
      <c r="O467" s="24" t="inlineStr"/>
      <c r="Q467" s="25" t="n"/>
      <c r="R467" s="25" t="n"/>
      <c r="S467" s="25" t="n"/>
      <c r="T467" s="25">
        <f>IF(AND(R467="",S467=""),"",N(R467)+N(S467))</f>
        <v/>
      </c>
      <c r="U467" s="25" t="n"/>
      <c r="V467" s="26" t="inlineStr">
        <is>
          <t>IMDb</t>
        </is>
      </c>
      <c r="W467" s="26" t="inlineStr">
        <is>
          <t>FilmAffinity</t>
        </is>
      </c>
      <c r="X467" s="26" t="inlineStr">
        <is>
          <t>Letterboxd</t>
        </is>
      </c>
    </row>
    <row r="468">
      <c r="A468" t="inlineStr">
        <is>
          <t>p0467</t>
        </is>
      </c>
      <c r="B468" t="inlineStr">
        <is>
          <t>El Señor de los Anillos: la Comunidad del Anillo</t>
        </is>
      </c>
      <c r="C468" t="inlineStr">
        <is>
          <t>The Lord of the Rings: The Fellowship of the Ring</t>
        </is>
      </c>
      <c r="D468" s="4" t="n">
        <v>2001</v>
      </c>
      <c r="E468" s="4">
        <f>IF(D468="","",FLOOR(D468,10))</f>
        <v/>
      </c>
      <c r="F468" s="22" t="n">
        <v>180</v>
      </c>
      <c r="G468" s="23" t="n">
        <v>8.6</v>
      </c>
      <c r="H468" t="inlineStr">
        <is>
          <t>Peter Jackson</t>
        </is>
      </c>
      <c r="I468" t="inlineStr">
        <is>
          <t>Nueva Zelanda</t>
        </is>
      </c>
      <c r="J468" t="inlineStr">
        <is>
          <t>Fantasía, Aventura</t>
        </is>
      </c>
      <c r="K468" t="inlineStr">
        <is>
          <t>El Señor de los Anillos</t>
        </is>
      </c>
      <c r="M468" s="6" t="n"/>
      <c r="O468" s="24" t="inlineStr"/>
      <c r="Q468" s="25" t="n"/>
      <c r="R468" s="25" t="n"/>
      <c r="S468" s="25" t="n"/>
      <c r="T468" s="25">
        <f>IF(AND(R468="",S468=""),"",N(R468)+N(S468))</f>
        <v/>
      </c>
      <c r="U468" s="25" t="n"/>
      <c r="V468" s="26" t="inlineStr">
        <is>
          <t>IMDb</t>
        </is>
      </c>
      <c r="W468" s="26" t="inlineStr">
        <is>
          <t>FilmAffinity</t>
        </is>
      </c>
      <c r="X468" s="26" t="inlineStr">
        <is>
          <t>Letterboxd</t>
        </is>
      </c>
    </row>
    <row r="469">
      <c r="A469" t="inlineStr">
        <is>
          <t>p0468</t>
        </is>
      </c>
      <c r="B469" t="inlineStr">
        <is>
          <t>Shrek</t>
        </is>
      </c>
      <c r="C469" t="inlineStr">
        <is>
          <t>Shrek</t>
        </is>
      </c>
      <c r="D469" s="4" t="n">
        <v>2001</v>
      </c>
      <c r="E469" s="4">
        <f>IF(D469="","",FLOOR(D469,10))</f>
        <v/>
      </c>
      <c r="F469" s="22" t="n">
        <v>87</v>
      </c>
      <c r="G469" s="23" t="n">
        <v>8</v>
      </c>
      <c r="H469" t="inlineStr">
        <is>
          <t>Andrew Adamson</t>
        </is>
      </c>
      <c r="I469" t="inlineStr">
        <is>
          <t>Estados Unidos</t>
        </is>
      </c>
      <c r="J469" t="inlineStr">
        <is>
          <t>Animación, Comedia, Fantasía</t>
        </is>
      </c>
      <c r="M469" s="6" t="n"/>
      <c r="O469" s="24" t="inlineStr"/>
      <c r="Q469" s="25" t="n"/>
      <c r="R469" s="25" t="n"/>
      <c r="S469" s="25" t="n"/>
      <c r="T469" s="25">
        <f>IF(AND(R469="",S469=""),"",N(R469)+N(S469))</f>
        <v/>
      </c>
      <c r="U469" s="25" t="n"/>
      <c r="V469" s="26" t="inlineStr">
        <is>
          <t>IMDb</t>
        </is>
      </c>
      <c r="W469" s="26" t="inlineStr">
        <is>
          <t>FilmAffinity</t>
        </is>
      </c>
      <c r="X469" s="26" t="inlineStr">
        <is>
          <t>Letterboxd</t>
        </is>
      </c>
    </row>
    <row r="470">
      <c r="A470" t="inlineStr">
        <is>
          <t>p0469</t>
        </is>
      </c>
      <c r="B470" t="inlineStr">
        <is>
          <t>Los otros</t>
        </is>
      </c>
      <c r="C470" t="inlineStr">
        <is>
          <t>The Others</t>
        </is>
      </c>
      <c r="D470" s="4" t="n">
        <v>2001</v>
      </c>
      <c r="E470" s="4">
        <f>IF(D470="","",FLOOR(D470,10))</f>
        <v/>
      </c>
      <c r="F470" s="22" t="n">
        <v>104</v>
      </c>
      <c r="G470" s="23" t="n">
        <v>8</v>
      </c>
      <c r="H470" t="inlineStr">
        <is>
          <t>Alejandro Amenábar</t>
        </is>
      </c>
      <c r="I470" t="inlineStr">
        <is>
          <t>España</t>
        </is>
      </c>
      <c r="J470" t="inlineStr">
        <is>
          <t>Terror, Misterio</t>
        </is>
      </c>
      <c r="M470" s="6" t="n"/>
      <c r="O470" s="24" t="inlineStr"/>
      <c r="Q470" s="25" t="n"/>
      <c r="R470" s="25" t="n"/>
      <c r="S470" s="25" t="n"/>
      <c r="T470" s="25">
        <f>IF(AND(R470="",S470=""),"",N(R470)+N(S470))</f>
        <v/>
      </c>
      <c r="U470" s="25" t="n"/>
      <c r="V470" s="26" t="inlineStr">
        <is>
          <t>IMDb</t>
        </is>
      </c>
      <c r="W470" s="26" t="inlineStr">
        <is>
          <t>FilmAffinity</t>
        </is>
      </c>
      <c r="X470" s="26" t="inlineStr">
        <is>
          <t>Letterboxd</t>
        </is>
      </c>
    </row>
    <row r="471">
      <c r="A471" t="inlineStr">
        <is>
          <t>p0470</t>
        </is>
      </c>
      <c r="B471" t="inlineStr">
        <is>
          <t>Shin Chan: Los Adultos Contraatacan</t>
        </is>
      </c>
      <c r="C471" t="inlineStr">
        <is>
          <t>Crayon Shin-chan: The Adult Empire Strikes Back</t>
        </is>
      </c>
      <c r="D471" s="4" t="n">
        <v>2001</v>
      </c>
      <c r="E471" s="4">
        <f>IF(D471="","",FLOOR(D471,10))</f>
        <v/>
      </c>
      <c r="F471" s="22" t="n">
        <v>87</v>
      </c>
      <c r="G471" s="23" t="n">
        <v>7.3</v>
      </c>
      <c r="H471" t="inlineStr">
        <is>
          <t>Keiichi Hara</t>
        </is>
      </c>
      <c r="I471" t="inlineStr">
        <is>
          <t>Japón</t>
        </is>
      </c>
      <c r="J471" t="inlineStr">
        <is>
          <t>Animación, Comedia</t>
        </is>
      </c>
      <c r="K471" t="inlineStr">
        <is>
          <t>Shin Chan</t>
        </is>
      </c>
      <c r="M471" s="6" t="n"/>
      <c r="O471" s="24" t="inlineStr"/>
      <c r="Q471" s="25" t="n"/>
      <c r="R471" s="25" t="n"/>
      <c r="S471" s="25" t="n"/>
      <c r="T471" s="25">
        <f>IF(AND(R471="",S471=""),"",N(R471)+N(S471))</f>
        <v/>
      </c>
      <c r="U471" s="25" t="n"/>
      <c r="V471" s="26" t="inlineStr">
        <is>
          <t>IMDb</t>
        </is>
      </c>
      <c r="W471" s="26" t="inlineStr">
        <is>
          <t>FilmAffinity</t>
        </is>
      </c>
      <c r="X471" s="26" t="inlineStr">
        <is>
          <t>Letterboxd</t>
        </is>
      </c>
    </row>
    <row r="472">
      <c r="A472" t="inlineStr">
        <is>
          <t>p0471</t>
        </is>
      </c>
      <c r="B472" t="inlineStr">
        <is>
          <t>Monstruos S.A.</t>
        </is>
      </c>
      <c r="C472" t="inlineStr">
        <is>
          <t>Monsters, Inc.</t>
        </is>
      </c>
      <c r="D472" s="4" t="n">
        <v>2001</v>
      </c>
      <c r="E472" s="4">
        <f>IF(D472="","",FLOOR(D472,10))</f>
        <v/>
      </c>
      <c r="F472" s="22" t="n">
        <v>88</v>
      </c>
      <c r="G472" s="23" t="n">
        <v>7.1</v>
      </c>
      <c r="H472" t="inlineStr">
        <is>
          <t>Pete Docter / Lee Unkrich / David Silverman</t>
        </is>
      </c>
      <c r="I472" t="inlineStr">
        <is>
          <t>Estados Unidos</t>
        </is>
      </c>
      <c r="J472" t="inlineStr">
        <is>
          <t>Animación, Comedia, Familiar</t>
        </is>
      </c>
      <c r="M472" s="6" t="n"/>
      <c r="O472" s="24" t="inlineStr"/>
      <c r="Q472" s="25" t="n"/>
      <c r="R472" s="25" t="n"/>
      <c r="S472" s="25" t="n"/>
      <c r="T472" s="25">
        <f>IF(AND(R472="",S472=""),"",N(R472)+N(S472))</f>
        <v/>
      </c>
      <c r="U472" s="25" t="n"/>
      <c r="V472" s="26" t="inlineStr">
        <is>
          <t>IMDb</t>
        </is>
      </c>
      <c r="W472" s="26" t="inlineStr">
        <is>
          <t>FilmAffinity</t>
        </is>
      </c>
      <c r="X472" s="26" t="inlineStr">
        <is>
          <t>Letterboxd</t>
        </is>
      </c>
    </row>
    <row r="473">
      <c r="A473" t="inlineStr">
        <is>
          <t>p0472</t>
        </is>
      </c>
      <c r="B473" t="inlineStr">
        <is>
          <t>Fast &amp; Furious</t>
        </is>
      </c>
      <c r="C473" t="inlineStr">
        <is>
          <t>The Fast and the Furious</t>
        </is>
      </c>
      <c r="D473" s="4" t="n">
        <v>2001</v>
      </c>
      <c r="E473" s="4">
        <f>IF(D473="","",FLOOR(D473,10))</f>
        <v/>
      </c>
      <c r="F473" s="22" t="n">
        <v>109</v>
      </c>
      <c r="G473" s="23" t="n">
        <v>7</v>
      </c>
      <c r="H473" t="inlineStr">
        <is>
          <t>Rob Cohen</t>
        </is>
      </c>
      <c r="I473" t="inlineStr">
        <is>
          <t>Estados Unidos</t>
        </is>
      </c>
      <c r="J473" t="inlineStr">
        <is>
          <t>Acción</t>
        </is>
      </c>
      <c r="K473" t="inlineStr">
        <is>
          <t>Fast &amp; Furious</t>
        </is>
      </c>
      <c r="M473" s="6" t="n"/>
      <c r="O473" s="24" t="inlineStr"/>
      <c r="Q473" s="25" t="n"/>
      <c r="R473" s="25" t="n"/>
      <c r="S473" s="25" t="n"/>
      <c r="T473" s="25">
        <f>IF(AND(R473="",S473=""),"",N(R473)+N(S473))</f>
        <v/>
      </c>
      <c r="U473" s="25" t="n"/>
      <c r="V473" s="26" t="inlineStr">
        <is>
          <t>IMDb</t>
        </is>
      </c>
      <c r="W473" s="26" t="inlineStr">
        <is>
          <t>FilmAffinity</t>
        </is>
      </c>
      <c r="X473" s="26" t="inlineStr">
        <is>
          <t>Letterboxd</t>
        </is>
      </c>
    </row>
    <row r="474">
      <c r="A474" t="inlineStr">
        <is>
          <t>p0473</t>
        </is>
      </c>
      <c r="B474" t="inlineStr">
        <is>
          <t>American Pie 2</t>
        </is>
      </c>
      <c r="C474" t="inlineStr">
        <is>
          <t>American Pie 2</t>
        </is>
      </c>
      <c r="D474" s="4" t="n">
        <v>2001</v>
      </c>
      <c r="E474" s="4">
        <f>IF(D474="","",FLOOR(D474,10))</f>
        <v/>
      </c>
      <c r="F474" s="22" t="n">
        <v>104</v>
      </c>
      <c r="G474" s="23" t="n">
        <v>6</v>
      </c>
      <c r="H474" t="inlineStr">
        <is>
          <t>J.B. Rogers</t>
        </is>
      </c>
      <c r="I474" t="inlineStr">
        <is>
          <t>Estados Unidos</t>
        </is>
      </c>
      <c r="J474" t="inlineStr">
        <is>
          <t>Comedia</t>
        </is>
      </c>
      <c r="K474" t="inlineStr">
        <is>
          <t>American Pie</t>
        </is>
      </c>
      <c r="M474" s="6" t="n"/>
      <c r="O474" s="24" t="inlineStr"/>
      <c r="Q474" s="25" t="n"/>
      <c r="R474" s="25" t="n"/>
      <c r="S474" s="25" t="n"/>
      <c r="T474" s="25">
        <f>IF(AND(R474="",S474=""),"",N(R474)+N(S474))</f>
        <v/>
      </c>
      <c r="U474" s="25" t="n"/>
      <c r="V474" s="26" t="inlineStr">
        <is>
          <t>IMDb</t>
        </is>
      </c>
      <c r="W474" s="26" t="inlineStr">
        <is>
          <t>FilmAffinity</t>
        </is>
      </c>
      <c r="X474" s="26" t="inlineStr">
        <is>
          <t>Letterboxd</t>
        </is>
      </c>
    </row>
    <row r="475">
      <c r="A475" t="inlineStr">
        <is>
          <t>p0474</t>
        </is>
      </c>
      <c r="B475" t="inlineStr">
        <is>
          <t>Scary Movie 2</t>
        </is>
      </c>
      <c r="C475" t="inlineStr">
        <is>
          <t>Scary Movie 2</t>
        </is>
      </c>
      <c r="D475" s="4" t="n">
        <v>2001</v>
      </c>
      <c r="E475" s="4">
        <f>IF(D475="","",FLOOR(D475,10))</f>
        <v/>
      </c>
      <c r="F475" s="22" t="n">
        <v>83</v>
      </c>
      <c r="G475" s="23" t="n">
        <v>5.8</v>
      </c>
      <c r="H475" t="inlineStr">
        <is>
          <t>Keenen Ivory Wayans</t>
        </is>
      </c>
      <c r="I475" t="inlineStr">
        <is>
          <t>Estados Unidos</t>
        </is>
      </c>
      <c r="J475" t="inlineStr">
        <is>
          <t>Comedia, Terror</t>
        </is>
      </c>
      <c r="K475" t="inlineStr">
        <is>
          <t>Scary Movie</t>
        </is>
      </c>
      <c r="M475" s="6" t="n"/>
      <c r="O475" s="24" t="inlineStr"/>
      <c r="Q475" s="25" t="n"/>
      <c r="R475" s="25" t="n"/>
      <c r="S475" s="25" t="n"/>
      <c r="T475" s="25">
        <f>IF(AND(R475="",S475=""),"",N(R475)+N(S475))</f>
        <v/>
      </c>
      <c r="U475" s="25" t="n"/>
      <c r="V475" s="26" t="inlineStr">
        <is>
          <t>IMDb</t>
        </is>
      </c>
      <c r="W475" s="26" t="inlineStr">
        <is>
          <t>FilmAffinity</t>
        </is>
      </c>
      <c r="X475" s="26" t="inlineStr">
        <is>
          <t>Letterboxd</t>
        </is>
      </c>
    </row>
    <row r="476">
      <c r="A476" t="inlineStr">
        <is>
          <t>p0475</t>
        </is>
      </c>
      <c r="B476" t="inlineStr">
        <is>
          <t>Torrente 2: Misión Marbella</t>
        </is>
      </c>
      <c r="C476" t="inlineStr">
        <is>
          <t>Torrente 2: Misión en Marbella</t>
        </is>
      </c>
      <c r="D476" s="4" t="n">
        <v>2001</v>
      </c>
      <c r="E476" s="4">
        <f>IF(D476="","",FLOOR(D476,10))</f>
        <v/>
      </c>
      <c r="F476" s="22" t="n">
        <v>94</v>
      </c>
      <c r="G476" s="23" t="n">
        <v>4.9</v>
      </c>
      <c r="H476" t="inlineStr">
        <is>
          <t>Santiago Segura</t>
        </is>
      </c>
      <c r="I476" t="inlineStr">
        <is>
          <t>España</t>
        </is>
      </c>
      <c r="J476" t="inlineStr">
        <is>
          <t>Comedia, Acción</t>
        </is>
      </c>
      <c r="K476" t="inlineStr">
        <is>
          <t>Torrente</t>
        </is>
      </c>
      <c r="M476" s="6" t="n"/>
      <c r="O476" s="24" t="inlineStr"/>
      <c r="Q476" s="25" t="n"/>
      <c r="R476" s="25" t="n"/>
      <c r="S476" s="25" t="n"/>
      <c r="T476" s="25">
        <f>IF(AND(R476="",S476=""),"",N(R476)+N(S476))</f>
        <v/>
      </c>
      <c r="U476" s="25" t="n"/>
      <c r="V476" s="26" t="inlineStr">
        <is>
          <t>IMDb</t>
        </is>
      </c>
      <c r="W476" s="26" t="inlineStr">
        <is>
          <t>FilmAffinity</t>
        </is>
      </c>
      <c r="X476" s="26" t="inlineStr">
        <is>
          <t>Letterboxd</t>
        </is>
      </c>
    </row>
    <row r="477">
      <c r="A477" t="inlineStr">
        <is>
          <t>p0476</t>
        </is>
      </c>
      <c r="B477" t="inlineStr">
        <is>
          <t>Memento</t>
        </is>
      </c>
      <c r="C477" t="inlineStr">
        <is>
          <t>Memento</t>
        </is>
      </c>
      <c r="D477" s="4" t="n">
        <v>2000</v>
      </c>
      <c r="E477" s="4">
        <f>IF(D477="","",FLOOR(D477,10))</f>
        <v/>
      </c>
      <c r="F477" s="22" t="n">
        <v>115</v>
      </c>
      <c r="G477" s="23" t="n">
        <v>9.699999999999999</v>
      </c>
      <c r="H477" t="inlineStr">
        <is>
          <t>Christopher Nolan</t>
        </is>
      </c>
      <c r="I477" t="inlineStr">
        <is>
          <t>Estados Unidos</t>
        </is>
      </c>
      <c r="J477" t="inlineStr">
        <is>
          <t>Thriller, Misterio</t>
        </is>
      </c>
      <c r="M477" s="6" t="n"/>
      <c r="O477" s="24" t="inlineStr"/>
      <c r="Q477" s="25" t="n"/>
      <c r="R477" s="25" t="n"/>
      <c r="S477" s="25" t="n"/>
      <c r="T477" s="25">
        <f>IF(AND(R477="",S477=""),"",N(R477)+N(S477))</f>
        <v/>
      </c>
      <c r="U477" s="25" t="n"/>
      <c r="V477" s="26" t="inlineStr">
        <is>
          <t>IMDb</t>
        </is>
      </c>
      <c r="W477" s="26" t="inlineStr">
        <is>
          <t>FilmAffinity</t>
        </is>
      </c>
      <c r="X477" s="26" t="inlineStr">
        <is>
          <t>Letterboxd</t>
        </is>
      </c>
    </row>
    <row r="478">
      <c r="A478" t="inlineStr">
        <is>
          <t>p0477</t>
        </is>
      </c>
      <c r="B478" t="inlineStr">
        <is>
          <t>Réquiem por un Sueño</t>
        </is>
      </c>
      <c r="C478" t="inlineStr">
        <is>
          <t>Requiem for a Dream</t>
        </is>
      </c>
      <c r="D478" s="4" t="n">
        <v>2000</v>
      </c>
      <c r="E478" s="4">
        <f>IF(D478="","",FLOOR(D478,10))</f>
        <v/>
      </c>
      <c r="F478" s="22" t="n">
        <v>102</v>
      </c>
      <c r="G478" s="23" t="n">
        <v>7.8</v>
      </c>
      <c r="H478" t="inlineStr">
        <is>
          <t>Darren Aronofsky</t>
        </is>
      </c>
      <c r="I478" t="inlineStr">
        <is>
          <t>Estados Unidos</t>
        </is>
      </c>
      <c r="J478" t="inlineStr">
        <is>
          <t>Drama</t>
        </is>
      </c>
      <c r="M478" s="6" t="n"/>
      <c r="O478" s="24" t="inlineStr"/>
      <c r="Q478" s="25" t="n"/>
      <c r="R478" s="25" t="n"/>
      <c r="S478" s="25" t="n"/>
      <c r="T478" s="25">
        <f>IF(AND(R478="",S478=""),"",N(R478)+N(S478))</f>
        <v/>
      </c>
      <c r="U478" s="25" t="n"/>
      <c r="V478" s="26" t="inlineStr">
        <is>
          <t>IMDb</t>
        </is>
      </c>
      <c r="W478" s="26" t="inlineStr">
        <is>
          <t>FilmAffinity</t>
        </is>
      </c>
      <c r="X478" s="26" t="inlineStr">
        <is>
          <t>Letterboxd</t>
        </is>
      </c>
    </row>
    <row r="479">
      <c r="A479" t="inlineStr">
        <is>
          <t>p0478</t>
        </is>
      </c>
      <c r="B479" t="inlineStr">
        <is>
          <t>Detective Conan 4: Atrapado en sus Ojos</t>
        </is>
      </c>
      <c r="C479" t="inlineStr">
        <is>
          <t>Detective Conan: Captured in Her Eyes</t>
        </is>
      </c>
      <c r="D479" s="4" t="n">
        <v>2000</v>
      </c>
      <c r="E479" s="4">
        <f>IF(D479="","",FLOOR(D479,10))</f>
        <v/>
      </c>
      <c r="F479" s="22" t="n">
        <v>100</v>
      </c>
      <c r="G479" s="23" t="n">
        <v>7.4</v>
      </c>
      <c r="H479" t="inlineStr">
        <is>
          <t>Kenji Kodama</t>
        </is>
      </c>
      <c r="I479" t="inlineStr">
        <is>
          <t>Japón</t>
        </is>
      </c>
      <c r="J479" t="inlineStr">
        <is>
          <t>Animación, Misterio</t>
        </is>
      </c>
      <c r="K479" t="inlineStr">
        <is>
          <t>Detective Conan</t>
        </is>
      </c>
      <c r="M479" s="6" t="n"/>
      <c r="O479" s="24" t="inlineStr"/>
      <c r="Q479" s="25" t="n"/>
      <c r="R479" s="25" t="n"/>
      <c r="S479" s="25" t="n"/>
      <c r="T479" s="25">
        <f>IF(AND(R479="",S479=""),"",N(R479)+N(S479))</f>
        <v/>
      </c>
      <c r="U479" s="25" t="n"/>
      <c r="V479" s="26" t="inlineStr">
        <is>
          <t>IMDb</t>
        </is>
      </c>
      <c r="W479" s="26" t="inlineStr">
        <is>
          <t>FilmAffinity</t>
        </is>
      </c>
      <c r="X479" s="26" t="inlineStr">
        <is>
          <t>Letterboxd</t>
        </is>
      </c>
    </row>
    <row r="480">
      <c r="A480" t="inlineStr">
        <is>
          <t>p0479</t>
        </is>
      </c>
      <c r="B480" t="inlineStr">
        <is>
          <t>American Psycho</t>
        </is>
      </c>
      <c r="C480" t="inlineStr">
        <is>
          <t>American Psycho</t>
        </is>
      </c>
      <c r="D480" s="4" t="n">
        <v>2000</v>
      </c>
      <c r="E480" s="4">
        <f>IF(D480="","",FLOOR(D480,10))</f>
        <v/>
      </c>
      <c r="F480" s="22" t="n">
        <v>101</v>
      </c>
      <c r="G480" s="23" t="n">
        <v>6.9</v>
      </c>
      <c r="H480" t="inlineStr">
        <is>
          <t>Mary Harron</t>
        </is>
      </c>
      <c r="I480" t="inlineStr">
        <is>
          <t>Estados Unidos</t>
        </is>
      </c>
      <c r="J480" t="inlineStr">
        <is>
          <t>Terror, Thriller, Comedia</t>
        </is>
      </c>
      <c r="M480" s="6" t="n"/>
      <c r="O480" s="24" t="inlineStr"/>
      <c r="Q480" s="25" t="n"/>
      <c r="R480" s="25" t="n"/>
      <c r="S480" s="25" t="n"/>
      <c r="T480" s="25">
        <f>IF(AND(R480="",S480=""),"",N(R480)+N(S480))</f>
        <v/>
      </c>
      <c r="U480" s="25" t="n"/>
      <c r="V480" s="26" t="inlineStr">
        <is>
          <t>IMDb</t>
        </is>
      </c>
      <c r="W480" s="26" t="inlineStr">
        <is>
          <t>FilmAffinity</t>
        </is>
      </c>
      <c r="X480" s="26" t="inlineStr">
        <is>
          <t>Letterboxd</t>
        </is>
      </c>
    </row>
    <row r="481">
      <c r="A481" t="inlineStr">
        <is>
          <t>p0480</t>
        </is>
      </c>
      <c r="B481" t="inlineStr">
        <is>
          <t>Scary Movie</t>
        </is>
      </c>
      <c r="C481" t="inlineStr">
        <is>
          <t>Scary Movie</t>
        </is>
      </c>
      <c r="D481" s="4" t="n">
        <v>2000</v>
      </c>
      <c r="E481" s="4">
        <f>IF(D481="","",FLOOR(D481,10))</f>
        <v/>
      </c>
      <c r="F481" s="22" t="n">
        <v>88</v>
      </c>
      <c r="G481" s="23" t="n">
        <v>5.9</v>
      </c>
      <c r="H481" t="inlineStr">
        <is>
          <t>Keenen Ivory Wayans</t>
        </is>
      </c>
      <c r="I481" t="inlineStr">
        <is>
          <t>Estados Unidos</t>
        </is>
      </c>
      <c r="J481" t="inlineStr">
        <is>
          <t>Comedia, Terror</t>
        </is>
      </c>
      <c r="K481" t="inlineStr">
        <is>
          <t>Scary Movie</t>
        </is>
      </c>
      <c r="M481" s="6" t="n"/>
      <c r="O481" s="24" t="inlineStr"/>
      <c r="Q481" s="25" t="n"/>
      <c r="R481" s="25" t="n"/>
      <c r="S481" s="25" t="n"/>
      <c r="T481" s="25">
        <f>IF(AND(R481="",S481=""),"",N(R481)+N(S481))</f>
        <v/>
      </c>
      <c r="U481" s="25" t="n"/>
      <c r="V481" s="26" t="inlineStr">
        <is>
          <t>IMDb</t>
        </is>
      </c>
      <c r="W481" s="26" t="inlineStr">
        <is>
          <t>FilmAffinity</t>
        </is>
      </c>
      <c r="X481" s="26" t="inlineStr">
        <is>
          <t>Letterboxd</t>
        </is>
      </c>
    </row>
    <row r="482">
      <c r="A482" t="inlineStr">
        <is>
          <t>p0481</t>
        </is>
      </c>
      <c r="B482" t="inlineStr">
        <is>
          <t>Shin-chan: Perdidos en la jungla</t>
        </is>
      </c>
      <c r="C482" t="inlineStr">
        <is>
          <t>Crayon Shin-chan: Jungle That Invites Storm</t>
        </is>
      </c>
      <c r="D482" s="4" t="n">
        <v>2000</v>
      </c>
      <c r="E482" s="4">
        <f>IF(D482="","",FLOOR(D482,10))</f>
        <v/>
      </c>
      <c r="F482" s="22" t="n">
        <v>93</v>
      </c>
      <c r="G482" s="23" t="n">
        <v>5.7</v>
      </c>
      <c r="H482" t="inlineStr">
        <is>
          <t>Keiichi Hara</t>
        </is>
      </c>
      <c r="I482" t="inlineStr">
        <is>
          <t>Japón</t>
        </is>
      </c>
      <c r="J482" t="inlineStr">
        <is>
          <t>Animación, Comedia</t>
        </is>
      </c>
      <c r="K482" t="inlineStr">
        <is>
          <t>Shin Chan</t>
        </is>
      </c>
      <c r="M482" s="6" t="n"/>
      <c r="O482" s="24" t="inlineStr"/>
      <c r="Q482" s="25" t="n"/>
      <c r="R482" s="25" t="n"/>
      <c r="S482" s="25" t="n"/>
      <c r="T482" s="25">
        <f>IF(AND(R482="",S482=""),"",N(R482)+N(S482))</f>
        <v/>
      </c>
      <c r="U482" s="25" t="n"/>
      <c r="V482" s="26" t="inlineStr">
        <is>
          <t>IMDb</t>
        </is>
      </c>
      <c r="W482" s="26" t="inlineStr">
        <is>
          <t>FilmAffinity</t>
        </is>
      </c>
      <c r="X482" s="26" t="inlineStr">
        <is>
          <t>Letterboxd</t>
        </is>
      </c>
    </row>
    <row r="483">
      <c r="A483" t="inlineStr">
        <is>
          <t>p0482</t>
        </is>
      </c>
      <c r="B483" t="inlineStr">
        <is>
          <t>Pokémon 3: El hechizo de los Unown</t>
        </is>
      </c>
      <c r="C483" t="inlineStr">
        <is>
          <t>Pokémon 3: The Movie</t>
        </is>
      </c>
      <c r="D483" s="4" t="n">
        <v>2000</v>
      </c>
      <c r="E483" s="4">
        <f>IF(D483="","",FLOOR(D483,10))</f>
        <v/>
      </c>
      <c r="F483" s="22" t="n">
        <v>92</v>
      </c>
      <c r="G483" s="23" t="n">
        <v>5.6</v>
      </c>
      <c r="H483" t="inlineStr">
        <is>
          <t>Kunihiko Yuyama / Michael Haigney</t>
        </is>
      </c>
      <c r="I483" t="inlineStr">
        <is>
          <t>Japón</t>
        </is>
      </c>
      <c r="J483" t="inlineStr">
        <is>
          <t>Animación, Aventura</t>
        </is>
      </c>
      <c r="K483" t="inlineStr">
        <is>
          <t>Pokémon</t>
        </is>
      </c>
      <c r="M483" s="6" t="n"/>
      <c r="O483" s="24" t="inlineStr"/>
      <c r="Q483" s="25" t="n"/>
      <c r="R483" s="25" t="n"/>
      <c r="S483" s="25" t="n"/>
      <c r="T483" s="25">
        <f>IF(AND(R483="",S483=""),"",N(R483)+N(S483))</f>
        <v/>
      </c>
      <c r="U483" s="25" t="n"/>
      <c r="V483" s="26" t="inlineStr">
        <is>
          <t>IMDb</t>
        </is>
      </c>
      <c r="W483" s="26" t="inlineStr">
        <is>
          <t>FilmAffinity</t>
        </is>
      </c>
      <c r="X483" s="26" t="inlineStr">
        <is>
          <t>Letterboxd</t>
        </is>
      </c>
    </row>
    <row r="484">
      <c r="A484" t="inlineStr">
        <is>
          <t>p0483</t>
        </is>
      </c>
      <c r="B484" t="inlineStr">
        <is>
          <t>Yo, Yo Mismo e Irene</t>
        </is>
      </c>
      <c r="C484" t="inlineStr">
        <is>
          <t>Me, Myself &amp; Irene</t>
        </is>
      </c>
      <c r="D484" s="4" t="n">
        <v>2000</v>
      </c>
      <c r="E484" s="4">
        <f>IF(D484="","",FLOOR(D484,10))</f>
        <v/>
      </c>
      <c r="F484" s="22" t="n">
        <v>117</v>
      </c>
      <c r="G484" s="23" t="n">
        <v>5.2</v>
      </c>
      <c r="H484" t="inlineStr">
        <is>
          <t>Peter Farrelly / Bobby Farrelly</t>
        </is>
      </c>
      <c r="I484" t="inlineStr">
        <is>
          <t>Estados Unidos</t>
        </is>
      </c>
      <c r="J484" t="inlineStr">
        <is>
          <t>Comedia</t>
        </is>
      </c>
      <c r="M484" s="6" t="n"/>
      <c r="O484" s="24" t="inlineStr"/>
      <c r="Q484" s="25" t="n"/>
      <c r="R484" s="25" t="n"/>
      <c r="S484" s="25" t="n"/>
      <c r="T484" s="25">
        <f>IF(AND(R484="",S484=""),"",N(R484)+N(S484))</f>
        <v/>
      </c>
      <c r="U484" s="25" t="n"/>
      <c r="V484" s="26" t="inlineStr">
        <is>
          <t>IMDb</t>
        </is>
      </c>
      <c r="W484" s="26" t="inlineStr">
        <is>
          <t>FilmAffinity</t>
        </is>
      </c>
      <c r="X484" s="26" t="inlineStr">
        <is>
          <t>Letterboxd</t>
        </is>
      </c>
    </row>
    <row r="485">
      <c r="A485" t="inlineStr">
        <is>
          <t>p0484</t>
        </is>
      </c>
      <c r="B485" t="inlineStr">
        <is>
          <t>American Beauty</t>
        </is>
      </c>
      <c r="C485" t="inlineStr">
        <is>
          <t>American Beauty</t>
        </is>
      </c>
      <c r="D485" s="4" t="n">
        <v>1999</v>
      </c>
      <c r="E485" s="4">
        <f>IF(D485="","",FLOOR(D485,10))</f>
        <v/>
      </c>
      <c r="F485" s="22" t="n">
        <v>122</v>
      </c>
      <c r="G485" s="23" t="n">
        <v>8.699999999999999</v>
      </c>
      <c r="H485" t="inlineStr">
        <is>
          <t>Sam Mendes</t>
        </is>
      </c>
      <c r="I485" t="inlineStr">
        <is>
          <t>Estados Unidos</t>
        </is>
      </c>
      <c r="J485" t="inlineStr">
        <is>
          <t>Drama</t>
        </is>
      </c>
      <c r="M485" s="6" t="n"/>
      <c r="O485" s="24" t="inlineStr"/>
      <c r="Q485" s="25" t="n"/>
      <c r="R485" s="25" t="n"/>
      <c r="S485" s="25" t="n"/>
      <c r="T485" s="25">
        <f>IF(AND(R485="",S485=""),"",N(R485)+N(S485))</f>
        <v/>
      </c>
      <c r="U485" s="25" t="n"/>
      <c r="V485" s="26" t="inlineStr">
        <is>
          <t>IMDb</t>
        </is>
      </c>
      <c r="W485" s="26" t="inlineStr">
        <is>
          <t>FilmAffinity</t>
        </is>
      </c>
      <c r="X485" s="26" t="inlineStr">
        <is>
          <t>Letterboxd</t>
        </is>
      </c>
    </row>
    <row r="486">
      <c r="A486" t="inlineStr">
        <is>
          <t>p0485</t>
        </is>
      </c>
      <c r="B486" t="inlineStr">
        <is>
          <t>Matrix</t>
        </is>
      </c>
      <c r="C486" t="inlineStr">
        <is>
          <t>The Matrix</t>
        </is>
      </c>
      <c r="D486" s="4" t="n">
        <v>1999</v>
      </c>
      <c r="E486" s="4">
        <f>IF(D486="","",FLOOR(D486,10))</f>
        <v/>
      </c>
      <c r="F486" s="22" t="n">
        <v>131</v>
      </c>
      <c r="G486" s="23" t="n">
        <v>8.6</v>
      </c>
      <c r="H486" t="inlineStr">
        <is>
          <t>Lana Wachowski / Lilly Wachowski</t>
        </is>
      </c>
      <c r="I486" t="inlineStr">
        <is>
          <t>Estados Unidos</t>
        </is>
      </c>
      <c r="J486" t="inlineStr">
        <is>
          <t>Ciencia ficción, Acción</t>
        </is>
      </c>
      <c r="M486" s="6" t="n"/>
      <c r="O486" s="24" t="inlineStr"/>
      <c r="Q486" s="25" t="n"/>
      <c r="R486" s="25" t="n"/>
      <c r="S486" s="25" t="n"/>
      <c r="T486" s="25">
        <f>IF(AND(R486="",S486=""),"",N(R486)+N(S486))</f>
        <v/>
      </c>
      <c r="U486" s="25" t="n"/>
      <c r="V486" s="26" t="inlineStr">
        <is>
          <t>IMDb</t>
        </is>
      </c>
      <c r="W486" s="26" t="inlineStr">
        <is>
          <t>FilmAffinity</t>
        </is>
      </c>
      <c r="X486" s="26" t="inlineStr">
        <is>
          <t>Letterboxd</t>
        </is>
      </c>
    </row>
    <row r="487">
      <c r="A487" t="inlineStr">
        <is>
          <t>p0486</t>
        </is>
      </c>
      <c r="B487" t="inlineStr">
        <is>
          <t>El Sexto Sentido</t>
        </is>
      </c>
      <c r="C487" t="inlineStr">
        <is>
          <t>The Sixth Sense</t>
        </is>
      </c>
      <c r="D487" s="4" t="n">
        <v>1999</v>
      </c>
      <c r="E487" s="4">
        <f>IF(D487="","",FLOOR(D487,10))</f>
        <v/>
      </c>
      <c r="F487" s="22" t="n">
        <v>107</v>
      </c>
      <c r="G487" s="23" t="n">
        <v>8.4</v>
      </c>
      <c r="H487" t="inlineStr">
        <is>
          <t>M. Night Shyamalan</t>
        </is>
      </c>
      <c r="I487" t="inlineStr">
        <is>
          <t>Estados Unidos</t>
        </is>
      </c>
      <c r="J487" t="inlineStr">
        <is>
          <t>Terror, Misterio, Drama</t>
        </is>
      </c>
      <c r="M487" s="6" t="n"/>
      <c r="O487" s="24" t="inlineStr"/>
      <c r="Q487" s="25" t="n"/>
      <c r="R487" s="25" t="n"/>
      <c r="S487" s="25" t="n"/>
      <c r="T487" s="25">
        <f>IF(AND(R487="",S487=""),"",N(R487)+N(S487))</f>
        <v/>
      </c>
      <c r="U487" s="25" t="n"/>
      <c r="V487" s="26" t="inlineStr">
        <is>
          <t>IMDb</t>
        </is>
      </c>
      <c r="W487" s="26" t="inlineStr">
        <is>
          <t>FilmAffinity</t>
        </is>
      </c>
      <c r="X487" s="26" t="inlineStr">
        <is>
          <t>Letterboxd</t>
        </is>
      </c>
    </row>
    <row r="488">
      <c r="A488" t="inlineStr">
        <is>
          <t>p0487</t>
        </is>
      </c>
      <c r="B488" t="inlineStr">
        <is>
          <t>Todo sobre mi madre</t>
        </is>
      </c>
      <c r="C488" t="inlineStr">
        <is>
          <t>Todo sobre mi madre</t>
        </is>
      </c>
      <c r="D488" s="4" t="n">
        <v>1999</v>
      </c>
      <c r="E488" s="4">
        <f>IF(D488="","",FLOOR(D488,10))</f>
        <v/>
      </c>
      <c r="F488" s="22" t="n">
        <v>105</v>
      </c>
      <c r="G488" s="23" t="n">
        <v>8.1</v>
      </c>
      <c r="H488" t="inlineStr">
        <is>
          <t>Pedro Almodóvar</t>
        </is>
      </c>
      <c r="I488" t="inlineStr">
        <is>
          <t>España</t>
        </is>
      </c>
      <c r="J488" t="inlineStr">
        <is>
          <t>Drama</t>
        </is>
      </c>
      <c r="M488" s="6" t="n"/>
      <c r="O488" s="24" t="inlineStr"/>
      <c r="Q488" s="25" t="n"/>
      <c r="R488" s="25" t="n"/>
      <c r="S488" s="25" t="n"/>
      <c r="T488" s="25">
        <f>IF(AND(R488="",S488=""),"",N(R488)+N(S488))</f>
        <v/>
      </c>
      <c r="U488" s="25" t="n"/>
      <c r="V488" s="26" t="inlineStr">
        <is>
          <t>IMDb</t>
        </is>
      </c>
      <c r="W488" s="26" t="inlineStr">
        <is>
          <t>FilmAffinity</t>
        </is>
      </c>
      <c r="X488" s="26" t="inlineStr">
        <is>
          <t>Letterboxd</t>
        </is>
      </c>
    </row>
    <row r="489">
      <c r="A489" t="inlineStr">
        <is>
          <t>p0488</t>
        </is>
      </c>
      <c r="B489" t="inlineStr">
        <is>
          <t>El Club de la Lucha</t>
        </is>
      </c>
      <c r="C489" t="inlineStr">
        <is>
          <t>Fight Club</t>
        </is>
      </c>
      <c r="D489" s="4" t="n">
        <v>1999</v>
      </c>
      <c r="E489" s="4">
        <f>IF(D489="","",FLOOR(D489,10))</f>
        <v/>
      </c>
      <c r="F489" s="22" t="n">
        <v>139</v>
      </c>
      <c r="G489" s="23" t="n">
        <v>7.9</v>
      </c>
      <c r="H489" t="inlineStr">
        <is>
          <t>David Fincher</t>
        </is>
      </c>
      <c r="I489" t="inlineStr">
        <is>
          <t>Estados Unidos</t>
        </is>
      </c>
      <c r="J489" t="inlineStr">
        <is>
          <t>Drama, Thriller</t>
        </is>
      </c>
      <c r="M489" s="6" t="n"/>
      <c r="O489" s="24" t="inlineStr"/>
      <c r="Q489" s="25" t="n"/>
      <c r="R489" s="25" t="n"/>
      <c r="S489" s="25" t="n"/>
      <c r="T489" s="25">
        <f>IF(AND(R489="",S489=""),"",N(R489)+N(S489))</f>
        <v/>
      </c>
      <c r="U489" s="25" t="n"/>
      <c r="V489" s="26" t="inlineStr">
        <is>
          <t>IMDb</t>
        </is>
      </c>
      <c r="W489" s="26" t="inlineStr">
        <is>
          <t>FilmAffinity</t>
        </is>
      </c>
      <c r="X489" s="26" t="inlineStr">
        <is>
          <t>Letterboxd</t>
        </is>
      </c>
    </row>
    <row r="490">
      <c r="A490" t="inlineStr">
        <is>
          <t>p0489</t>
        </is>
      </c>
      <c r="B490" t="inlineStr">
        <is>
          <t>La lengua de las mariposas</t>
        </is>
      </c>
      <c r="C490" t="inlineStr">
        <is>
          <t>La lengua de las mariposas</t>
        </is>
      </c>
      <c r="D490" s="4" t="n">
        <v>1999</v>
      </c>
      <c r="E490" s="4">
        <f>IF(D490="","",FLOOR(D490,10))</f>
        <v/>
      </c>
      <c r="F490" s="22" t="n">
        <v>97</v>
      </c>
      <c r="G490" s="23" t="n">
        <v>7.7</v>
      </c>
      <c r="H490" t="inlineStr">
        <is>
          <t>José Luis Cuerda</t>
        </is>
      </c>
      <c r="I490" t="inlineStr">
        <is>
          <t>España</t>
        </is>
      </c>
      <c r="J490" t="inlineStr">
        <is>
          <t>Drama, Histórico</t>
        </is>
      </c>
      <c r="M490" s="6" t="n"/>
      <c r="O490" s="24" t="inlineStr"/>
      <c r="Q490" s="25" t="n"/>
      <c r="R490" s="25" t="n"/>
      <c r="S490" s="25" t="n"/>
      <c r="T490" s="25">
        <f>IF(AND(R490="",S490=""),"",N(R490)+N(S490))</f>
        <v/>
      </c>
      <c r="U490" s="25" t="n"/>
      <c r="V490" s="26" t="inlineStr">
        <is>
          <t>IMDb</t>
        </is>
      </c>
      <c r="W490" s="26" t="inlineStr">
        <is>
          <t>FilmAffinity</t>
        </is>
      </c>
      <c r="X490" s="26" t="inlineStr">
        <is>
          <t>Letterboxd</t>
        </is>
      </c>
    </row>
    <row r="491">
      <c r="A491" t="inlineStr">
        <is>
          <t>p0490</t>
        </is>
      </c>
      <c r="B491" t="inlineStr">
        <is>
          <t>El gigante de hierro</t>
        </is>
      </c>
      <c r="C491" t="inlineStr">
        <is>
          <t>The Iron Giant</t>
        </is>
      </c>
      <c r="D491" s="4" t="n">
        <v>1999</v>
      </c>
      <c r="E491" s="4">
        <f>IF(D491="","",FLOOR(D491,10))</f>
        <v/>
      </c>
      <c r="F491" s="22" t="n">
        <v>86</v>
      </c>
      <c r="G491" s="23" t="n">
        <v>7</v>
      </c>
      <c r="H491" t="inlineStr">
        <is>
          <t>Brad Bird</t>
        </is>
      </c>
      <c r="I491" t="inlineStr">
        <is>
          <t>Estados Unidos</t>
        </is>
      </c>
      <c r="J491" t="inlineStr">
        <is>
          <t>Animación, Ciencia ficción, Familiar</t>
        </is>
      </c>
      <c r="M491" s="6" t="n"/>
      <c r="O491" s="24" t="inlineStr"/>
      <c r="Q491" s="25" t="n"/>
      <c r="R491" s="25" t="n"/>
      <c r="S491" s="25" t="n"/>
      <c r="T491" s="25">
        <f>IF(AND(R491="",S491=""),"",N(R491)+N(S491))</f>
        <v/>
      </c>
      <c r="U491" s="25" t="n"/>
      <c r="V491" s="26" t="inlineStr">
        <is>
          <t>IMDb</t>
        </is>
      </c>
      <c r="W491" s="26" t="inlineStr">
        <is>
          <t>FilmAffinity</t>
        </is>
      </c>
      <c r="X491" s="26" t="inlineStr">
        <is>
          <t>Letterboxd</t>
        </is>
      </c>
    </row>
    <row r="492">
      <c r="A492" t="inlineStr">
        <is>
          <t>p0491</t>
        </is>
      </c>
      <c r="B492" t="inlineStr">
        <is>
          <t>La Momia</t>
        </is>
      </c>
      <c r="C492" t="inlineStr">
        <is>
          <t>The Mummy</t>
        </is>
      </c>
      <c r="D492" s="4" t="n">
        <v>1999</v>
      </c>
      <c r="E492" s="4">
        <f>IF(D492="","",FLOOR(D492,10))</f>
        <v/>
      </c>
      <c r="F492" s="22" t="n">
        <v>125</v>
      </c>
      <c r="G492" s="23" t="n">
        <v>7</v>
      </c>
      <c r="H492" t="inlineStr">
        <is>
          <t>Stephen Sommers</t>
        </is>
      </c>
      <c r="I492" t="inlineStr">
        <is>
          <t>Estados Unidos</t>
        </is>
      </c>
      <c r="J492" t="inlineStr">
        <is>
          <t>Aventura, Acción, Fantasía</t>
        </is>
      </c>
      <c r="K492" t="inlineStr">
        <is>
          <t>La Momia</t>
        </is>
      </c>
      <c r="M492" s="6" t="n"/>
      <c r="O492" s="24" t="inlineStr"/>
      <c r="Q492" s="25" t="n"/>
      <c r="R492" s="25" t="n"/>
      <c r="S492" s="25" t="n"/>
      <c r="T492" s="25">
        <f>IF(AND(R492="",S492=""),"",N(R492)+N(S492))</f>
        <v/>
      </c>
      <c r="U492" s="25" t="n"/>
      <c r="V492" s="26" t="inlineStr">
        <is>
          <t>IMDb</t>
        </is>
      </c>
      <c r="W492" s="26" t="inlineStr">
        <is>
          <t>FilmAffinity</t>
        </is>
      </c>
      <c r="X492" s="26" t="inlineStr">
        <is>
          <t>Letterboxd</t>
        </is>
      </c>
    </row>
    <row r="493">
      <c r="A493" t="inlineStr">
        <is>
          <t>p0492</t>
        </is>
      </c>
      <c r="B493" t="inlineStr">
        <is>
          <t>Toy Story 2</t>
        </is>
      </c>
      <c r="C493" t="inlineStr">
        <is>
          <t>Toy Story 2</t>
        </is>
      </c>
      <c r="D493" s="4" t="n">
        <v>1999</v>
      </c>
      <c r="E493" s="4">
        <f>IF(D493="","",FLOOR(D493,10))</f>
        <v/>
      </c>
      <c r="F493" s="22" t="n">
        <v>88</v>
      </c>
      <c r="G493" s="23" t="n">
        <v>6.9</v>
      </c>
      <c r="H493" t="inlineStr">
        <is>
          <t>John Lasseter / Ash Brannon / Lee Unkrich</t>
        </is>
      </c>
      <c r="I493" t="inlineStr">
        <is>
          <t>Estados Unidos</t>
        </is>
      </c>
      <c r="J493" t="inlineStr">
        <is>
          <t>Animación, Comedia, Familiar</t>
        </is>
      </c>
      <c r="K493" t="inlineStr">
        <is>
          <t>Toy Story</t>
        </is>
      </c>
      <c r="M493" s="6" t="n"/>
      <c r="O493" s="24" t="inlineStr"/>
      <c r="Q493" s="25" t="n"/>
      <c r="R493" s="25" t="n"/>
      <c r="S493" s="25" t="n"/>
      <c r="T493" s="25">
        <f>IF(AND(R493="",S493=""),"",N(R493)+N(S493))</f>
        <v/>
      </c>
      <c r="U493" s="25" t="n"/>
      <c r="V493" s="26" t="inlineStr">
        <is>
          <t>IMDb</t>
        </is>
      </c>
      <c r="W493" s="26" t="inlineStr">
        <is>
          <t>FilmAffinity</t>
        </is>
      </c>
      <c r="X493" s="26" t="inlineStr">
        <is>
          <t>Letterboxd</t>
        </is>
      </c>
    </row>
    <row r="494">
      <c r="A494" t="inlineStr">
        <is>
          <t>p0493</t>
        </is>
      </c>
      <c r="B494" t="inlineStr">
        <is>
          <t>Sleepy Hollow</t>
        </is>
      </c>
      <c r="C494" t="inlineStr">
        <is>
          <t>Sleepy Hollow</t>
        </is>
      </c>
      <c r="D494" s="4" t="n">
        <v>1999</v>
      </c>
      <c r="E494" s="4">
        <f>IF(D494="","",FLOOR(D494,10))</f>
        <v/>
      </c>
      <c r="F494" s="22" t="n">
        <v>105</v>
      </c>
      <c r="G494" s="23" t="n">
        <v>6.9</v>
      </c>
      <c r="H494" t="inlineStr">
        <is>
          <t>Tim Burton</t>
        </is>
      </c>
      <c r="I494" t="inlineStr">
        <is>
          <t>Estados Unidos</t>
        </is>
      </c>
      <c r="J494" t="inlineStr">
        <is>
          <t>Terror, Fantasía, Misterio</t>
        </is>
      </c>
      <c r="M494" s="6" t="n"/>
      <c r="O494" s="24" t="inlineStr"/>
      <c r="Q494" s="25" t="n"/>
      <c r="R494" s="25" t="n"/>
      <c r="S494" s="25" t="n"/>
      <c r="T494" s="25">
        <f>IF(AND(R494="",S494=""),"",N(R494)+N(S494))</f>
        <v/>
      </c>
      <c r="U494" s="25" t="n"/>
      <c r="V494" s="26" t="inlineStr">
        <is>
          <t>IMDb</t>
        </is>
      </c>
      <c r="W494" s="26" t="inlineStr">
        <is>
          <t>FilmAffinity</t>
        </is>
      </c>
      <c r="X494" s="26" t="inlineStr">
        <is>
          <t>Letterboxd</t>
        </is>
      </c>
    </row>
    <row r="495">
      <c r="A495" t="inlineStr">
        <is>
          <t>p0494</t>
        </is>
      </c>
      <c r="B495" t="inlineStr">
        <is>
          <t>Notting Hill</t>
        </is>
      </c>
      <c r="C495" t="inlineStr">
        <is>
          <t>Notting Hill</t>
        </is>
      </c>
      <c r="D495" s="4" t="n">
        <v>1999</v>
      </c>
      <c r="E495" s="4">
        <f>IF(D495="","",FLOOR(D495,10))</f>
        <v/>
      </c>
      <c r="F495" s="22" t="n">
        <v>124</v>
      </c>
      <c r="G495" s="23" t="n">
        <v>6.8</v>
      </c>
      <c r="H495" t="inlineStr">
        <is>
          <t>Roger Michell</t>
        </is>
      </c>
      <c r="I495" t="inlineStr">
        <is>
          <t>Reino Unido</t>
        </is>
      </c>
      <c r="J495" t="inlineStr">
        <is>
          <t>Romance, Comedia</t>
        </is>
      </c>
      <c r="M495" s="6" t="n"/>
      <c r="O495" s="24" t="inlineStr"/>
      <c r="Q495" s="25" t="n"/>
      <c r="R495" s="25" t="n"/>
      <c r="S495" s="25" t="n"/>
      <c r="T495" s="25">
        <f>IF(AND(R495="",S495=""),"",N(R495)+N(S495))</f>
        <v/>
      </c>
      <c r="U495" s="25" t="n"/>
      <c r="V495" s="26" t="inlineStr">
        <is>
          <t>IMDb</t>
        </is>
      </c>
      <c r="W495" s="26" t="inlineStr">
        <is>
          <t>FilmAffinity</t>
        </is>
      </c>
      <c r="X495" s="26" t="inlineStr">
        <is>
          <t>Letterboxd</t>
        </is>
      </c>
    </row>
    <row r="496">
      <c r="A496" t="inlineStr">
        <is>
          <t>p0495</t>
        </is>
      </c>
      <c r="B496" t="inlineStr">
        <is>
          <t>Detective Conan 3: El Último Mago del Siglo</t>
        </is>
      </c>
      <c r="C496" t="inlineStr">
        <is>
          <t>Detective Conan: The Last Wizard of the Century</t>
        </is>
      </c>
      <c r="D496" s="4" t="n">
        <v>1999</v>
      </c>
      <c r="E496" s="4">
        <f>IF(D496="","",FLOOR(D496,10))</f>
        <v/>
      </c>
      <c r="F496" s="22" t="n">
        <v>100</v>
      </c>
      <c r="G496" s="23" t="n">
        <v>6.6</v>
      </c>
      <c r="H496" t="inlineStr">
        <is>
          <t>Kenji Kodama / Yasuichiro Yamamoto</t>
        </is>
      </c>
      <c r="I496" t="inlineStr">
        <is>
          <t>Japón</t>
        </is>
      </c>
      <c r="J496" t="inlineStr">
        <is>
          <t>Animación, Misterio</t>
        </is>
      </c>
      <c r="K496" t="inlineStr">
        <is>
          <t>Detective Conan</t>
        </is>
      </c>
      <c r="M496" s="6" t="n"/>
      <c r="O496" s="24" t="inlineStr"/>
      <c r="Q496" s="25" t="n"/>
      <c r="R496" s="25" t="n"/>
      <c r="S496" s="25" t="n"/>
      <c r="T496" s="25">
        <f>IF(AND(R496="",S496=""),"",N(R496)+N(S496))</f>
        <v/>
      </c>
      <c r="U496" s="25" t="n"/>
      <c r="V496" s="26" t="inlineStr">
        <is>
          <t>IMDb</t>
        </is>
      </c>
      <c r="W496" s="26" t="inlineStr">
        <is>
          <t>FilmAffinity</t>
        </is>
      </c>
      <c r="X496" s="26" t="inlineStr">
        <is>
          <t>Letterboxd</t>
        </is>
      </c>
    </row>
    <row r="497">
      <c r="A497" t="inlineStr">
        <is>
          <t>p0496</t>
        </is>
      </c>
      <c r="B497" t="inlineStr">
        <is>
          <t>Tarzán</t>
        </is>
      </c>
      <c r="C497" t="inlineStr">
        <is>
          <t>Tarzan</t>
        </is>
      </c>
      <c r="D497" s="4" t="n">
        <v>1999</v>
      </c>
      <c r="E497" s="4">
        <f>IF(D497="","",FLOOR(D497,10))</f>
        <v/>
      </c>
      <c r="F497" s="22" t="n">
        <v>84</v>
      </c>
      <c r="G497" s="23" t="n">
        <v>6.6</v>
      </c>
      <c r="H497" t="inlineStr">
        <is>
          <t>Kevin Lima / Chris Buck</t>
        </is>
      </c>
      <c r="I497" t="inlineStr">
        <is>
          <t>Estados Unidos</t>
        </is>
      </c>
      <c r="J497" t="inlineStr">
        <is>
          <t>Animación, Aventura, Familiar</t>
        </is>
      </c>
      <c r="M497" s="6" t="n"/>
      <c r="O497" s="24" t="inlineStr"/>
      <c r="Q497" s="25" t="n"/>
      <c r="R497" s="25" t="n"/>
      <c r="S497" s="25" t="n"/>
      <c r="T497" s="25">
        <f>IF(AND(R497="",S497=""),"",N(R497)+N(S497))</f>
        <v/>
      </c>
      <c r="U497" s="25" t="n"/>
      <c r="V497" s="26" t="inlineStr">
        <is>
          <t>IMDb</t>
        </is>
      </c>
      <c r="W497" s="26" t="inlineStr">
        <is>
          <t>FilmAffinity</t>
        </is>
      </c>
      <c r="X497" s="26" t="inlineStr">
        <is>
          <t>Letterboxd</t>
        </is>
      </c>
    </row>
    <row r="498">
      <c r="A498" t="inlineStr">
        <is>
          <t>p0497</t>
        </is>
      </c>
      <c r="B498" t="inlineStr">
        <is>
          <t>Star Wars: Episodio I - La amenaza fantasma</t>
        </is>
      </c>
      <c r="C498" t="inlineStr">
        <is>
          <t>Star Wars: Episode I – The Phantom Menace</t>
        </is>
      </c>
      <c r="D498" s="4" t="n">
        <v>1999</v>
      </c>
      <c r="E498" s="4">
        <f>IF(D498="","",FLOOR(D498,10))</f>
        <v/>
      </c>
      <c r="F498" s="22" t="n">
        <v>130</v>
      </c>
      <c r="G498" s="23" t="n">
        <v>6.4</v>
      </c>
      <c r="H498" t="inlineStr">
        <is>
          <t>George Lucas</t>
        </is>
      </c>
      <c r="I498" t="inlineStr">
        <is>
          <t>Estados Unidos</t>
        </is>
      </c>
      <c r="J498" t="inlineStr">
        <is>
          <t>Ciencia ficción, Aventura, Acción</t>
        </is>
      </c>
      <c r="K498" t="inlineStr">
        <is>
          <t>Star Wars</t>
        </is>
      </c>
      <c r="M498" s="6" t="n"/>
      <c r="O498" s="24" t="inlineStr"/>
      <c r="Q498" s="25" t="n">
        <v>64820970</v>
      </c>
      <c r="R498" s="25" t="n">
        <v>487576624</v>
      </c>
      <c r="S498" s="25" t="n">
        <v>558938030</v>
      </c>
      <c r="T498" s="25">
        <f>IF(AND(R498="",S498=""),"",N(R498)+N(S498))</f>
        <v/>
      </c>
      <c r="U498" s="25" t="n"/>
      <c r="V498" s="26" t="inlineStr">
        <is>
          <t>IMDb</t>
        </is>
      </c>
      <c r="W498" s="26" t="inlineStr">
        <is>
          <t>FilmAffinity</t>
        </is>
      </c>
      <c r="X498" s="26" t="inlineStr">
        <is>
          <t>Letterboxd</t>
        </is>
      </c>
    </row>
    <row r="499">
      <c r="A499" t="inlineStr">
        <is>
          <t>p0498</t>
        </is>
      </c>
      <c r="B499" t="inlineStr">
        <is>
          <t>American Pie</t>
        </is>
      </c>
      <c r="C499" t="inlineStr">
        <is>
          <t>American Pie</t>
        </is>
      </c>
      <c r="D499" s="4" t="n">
        <v>1999</v>
      </c>
      <c r="E499" s="4">
        <f>IF(D499="","",FLOOR(D499,10))</f>
        <v/>
      </c>
      <c r="F499" s="22" t="n">
        <v>98</v>
      </c>
      <c r="G499" s="23" t="n">
        <v>6.1</v>
      </c>
      <c r="H499" t="inlineStr">
        <is>
          <t>Paul Weitz / Chris Weitz</t>
        </is>
      </c>
      <c r="I499" t="inlineStr">
        <is>
          <t>Estados Unidos</t>
        </is>
      </c>
      <c r="J499" t="inlineStr">
        <is>
          <t>Comedia</t>
        </is>
      </c>
      <c r="K499" t="inlineStr">
        <is>
          <t>American Pie</t>
        </is>
      </c>
      <c r="M499" s="6" t="n"/>
      <c r="O499" s="24" t="inlineStr"/>
      <c r="Q499" s="25" t="n"/>
      <c r="R499" s="25" t="n"/>
      <c r="S499" s="25" t="n"/>
      <c r="T499" s="25">
        <f>IF(AND(R499="",S499=""),"",N(R499)+N(S499))</f>
        <v/>
      </c>
      <c r="U499" s="25" t="n"/>
      <c r="V499" s="26" t="inlineStr">
        <is>
          <t>IMDb</t>
        </is>
      </c>
      <c r="W499" s="26" t="inlineStr">
        <is>
          <t>FilmAffinity</t>
        </is>
      </c>
      <c r="X499" s="26" t="inlineStr">
        <is>
          <t>Letterboxd</t>
        </is>
      </c>
    </row>
    <row r="500">
      <c r="A500" t="inlineStr">
        <is>
          <t>p0499</t>
        </is>
      </c>
      <c r="B500" t="inlineStr">
        <is>
          <t>Pokémon 2: El Poder de Uno</t>
        </is>
      </c>
      <c r="C500" t="inlineStr">
        <is>
          <t>Pokémon: The Movie 2000</t>
        </is>
      </c>
      <c r="D500" s="4" t="n">
        <v>1999</v>
      </c>
      <c r="E500" s="4">
        <f>IF(D500="","",FLOOR(D500,10))</f>
        <v/>
      </c>
      <c r="F500" s="22" t="n">
        <v>80</v>
      </c>
      <c r="G500" s="23" t="n">
        <v>6</v>
      </c>
      <c r="H500" t="inlineStr">
        <is>
          <t>Kunihiko Yuyama</t>
        </is>
      </c>
      <c r="I500" t="inlineStr">
        <is>
          <t>Japón</t>
        </is>
      </c>
      <c r="J500" t="inlineStr">
        <is>
          <t>Animación, Aventura</t>
        </is>
      </c>
      <c r="K500" t="inlineStr">
        <is>
          <t>Pokémon</t>
        </is>
      </c>
      <c r="M500" s="6" t="n"/>
      <c r="O500" s="24" t="inlineStr"/>
      <c r="Q500" s="25" t="n"/>
      <c r="R500" s="25" t="n"/>
      <c r="S500" s="25" t="n"/>
      <c r="T500" s="25">
        <f>IF(AND(R500="",S500=""),"",N(R500)+N(S500))</f>
        <v/>
      </c>
      <c r="U500" s="25" t="n"/>
      <c r="V500" s="26" t="inlineStr">
        <is>
          <t>IMDb</t>
        </is>
      </c>
      <c r="W500" s="26" t="inlineStr">
        <is>
          <t>FilmAffinity</t>
        </is>
      </c>
      <c r="X500" s="26" t="inlineStr">
        <is>
          <t>Letterboxd</t>
        </is>
      </c>
    </row>
    <row r="501">
      <c r="A501" t="inlineStr">
        <is>
          <t>p0500</t>
        </is>
      </c>
      <c r="B501" t="inlineStr">
        <is>
          <t>El Proyecto de la Bruja de Blair</t>
        </is>
      </c>
      <c r="C501" t="inlineStr">
        <is>
          <t>The Blair Witch Project</t>
        </is>
      </c>
      <c r="D501" s="4" t="n">
        <v>1999</v>
      </c>
      <c r="E501" s="4">
        <f>IF(D501="","",FLOOR(D501,10))</f>
        <v/>
      </c>
      <c r="F501" s="22" t="n">
        <v>81</v>
      </c>
      <c r="G501" s="23" t="n">
        <v>4.9</v>
      </c>
      <c r="H501" t="inlineStr">
        <is>
          <t>Daniel Myrick / Eduardo Sánchez</t>
        </is>
      </c>
      <c r="I501" t="inlineStr">
        <is>
          <t>Estados Unidos</t>
        </is>
      </c>
      <c r="J501" t="inlineStr">
        <is>
          <t>Terror</t>
        </is>
      </c>
      <c r="M501" s="6" t="n"/>
      <c r="O501" s="24" t="inlineStr"/>
      <c r="Q501" s="25" t="n"/>
      <c r="R501" s="25" t="n"/>
      <c r="S501" s="25" t="n"/>
      <c r="T501" s="25">
        <f>IF(AND(R501="",S501=""),"",N(R501)+N(S501))</f>
        <v/>
      </c>
      <c r="U501" s="25" t="n"/>
      <c r="V501" s="26" t="inlineStr">
        <is>
          <t>IMDb</t>
        </is>
      </c>
      <c r="W501" s="26" t="inlineStr">
        <is>
          <t>FilmAffinity</t>
        </is>
      </c>
      <c r="X501" s="26" t="inlineStr">
        <is>
          <t>Letterboxd</t>
        </is>
      </c>
    </row>
    <row r="502">
      <c r="A502" t="inlineStr">
        <is>
          <t>p0501</t>
        </is>
      </c>
      <c r="B502" t="inlineStr">
        <is>
          <t>American History X</t>
        </is>
      </c>
      <c r="C502" t="inlineStr">
        <is>
          <t>American History X</t>
        </is>
      </c>
      <c r="D502" s="4" t="n">
        <v>1998</v>
      </c>
      <c r="E502" s="4">
        <f>IF(D502="","",FLOOR(D502,10))</f>
        <v/>
      </c>
      <c r="F502" s="22" t="n">
        <v>119</v>
      </c>
      <c r="G502" s="23" t="n">
        <v>8.300000000000001</v>
      </c>
      <c r="H502" t="inlineStr">
        <is>
          <t>Tony Kaye</t>
        </is>
      </c>
      <c r="I502" t="inlineStr">
        <is>
          <t>Estados Unidos</t>
        </is>
      </c>
      <c r="J502" t="inlineStr">
        <is>
          <t>Drama, Crimen</t>
        </is>
      </c>
      <c r="M502" s="6" t="n"/>
      <c r="O502" s="24" t="inlineStr"/>
      <c r="Q502" s="25" t="n"/>
      <c r="R502" s="25" t="n"/>
      <c r="S502" s="25" t="n"/>
      <c r="T502" s="25">
        <f>IF(AND(R502="",S502=""),"",N(R502)+N(S502))</f>
        <v/>
      </c>
      <c r="U502" s="25" t="n"/>
      <c r="V502" s="26" t="inlineStr">
        <is>
          <t>IMDb</t>
        </is>
      </c>
      <c r="W502" s="26" t="inlineStr">
        <is>
          <t>FilmAffinity</t>
        </is>
      </c>
      <c r="X502" s="26" t="inlineStr">
        <is>
          <t>Letterboxd</t>
        </is>
      </c>
    </row>
    <row r="503">
      <c r="A503" t="inlineStr">
        <is>
          <t>p0502</t>
        </is>
      </c>
      <c r="B503" t="inlineStr">
        <is>
          <t>Detective Conan 2: La Decimocuarta Víctima</t>
        </is>
      </c>
      <c r="C503" t="inlineStr">
        <is>
          <t>Detective Conan: The Fourteenth Target</t>
        </is>
      </c>
      <c r="D503" s="4" t="n">
        <v>1998</v>
      </c>
      <c r="E503" s="4">
        <f>IF(D503="","",FLOOR(D503,10))</f>
        <v/>
      </c>
      <c r="F503" s="22" t="n">
        <v>99</v>
      </c>
      <c r="G503" s="23" t="n">
        <v>8</v>
      </c>
      <c r="H503" t="inlineStr">
        <is>
          <t>Kenji Kodama</t>
        </is>
      </c>
      <c r="I503" t="inlineStr">
        <is>
          <t>Japón</t>
        </is>
      </c>
      <c r="J503" t="inlineStr">
        <is>
          <t>Animación, Misterio</t>
        </is>
      </c>
      <c r="K503" t="inlineStr">
        <is>
          <t>Detective Conan</t>
        </is>
      </c>
      <c r="M503" s="6" t="n"/>
      <c r="O503" s="24" t="inlineStr"/>
      <c r="Q503" s="25" t="n"/>
      <c r="R503" s="25" t="n"/>
      <c r="S503" s="25" t="n"/>
      <c r="T503" s="25">
        <f>IF(AND(R503="",S503=""),"",N(R503)+N(S503))</f>
        <v/>
      </c>
      <c r="U503" s="25" t="n"/>
      <c r="V503" s="26" t="inlineStr">
        <is>
          <t>IMDb</t>
        </is>
      </c>
      <c r="W503" s="26" t="inlineStr">
        <is>
          <t>FilmAffinity</t>
        </is>
      </c>
      <c r="X503" s="26" t="inlineStr">
        <is>
          <t>Letterboxd</t>
        </is>
      </c>
    </row>
    <row r="504">
      <c r="A504" t="inlineStr">
        <is>
          <t>p0503</t>
        </is>
      </c>
      <c r="B504" t="inlineStr">
        <is>
          <t>Salvar al soldado Ryan</t>
        </is>
      </c>
      <c r="C504" t="inlineStr">
        <is>
          <t>Saving Private Ryan</t>
        </is>
      </c>
      <c r="D504" s="4" t="n">
        <v>1998</v>
      </c>
      <c r="E504" s="4">
        <f>IF(D504="","",FLOOR(D504,10))</f>
        <v/>
      </c>
      <c r="F504" s="22" t="n">
        <v>170</v>
      </c>
      <c r="G504" s="23" t="n">
        <v>8</v>
      </c>
      <c r="H504" t="inlineStr">
        <is>
          <t>Steven Spielberg</t>
        </is>
      </c>
      <c r="I504" t="inlineStr">
        <is>
          <t>Estados Unidos</t>
        </is>
      </c>
      <c r="J504" t="inlineStr">
        <is>
          <t>Bélico, Drama</t>
        </is>
      </c>
      <c r="M504" s="6" t="n"/>
      <c r="O504" s="24" t="inlineStr"/>
      <c r="Q504" s="25" t="n"/>
      <c r="R504" s="25" t="n"/>
      <c r="S504" s="25" t="n"/>
      <c r="T504" s="25">
        <f>IF(AND(R504="",S504=""),"",N(R504)+N(S504))</f>
        <v/>
      </c>
      <c r="U504" s="25" t="n"/>
      <c r="V504" s="26" t="inlineStr">
        <is>
          <t>IMDb</t>
        </is>
      </c>
      <c r="W504" s="26" t="inlineStr">
        <is>
          <t>FilmAffinity</t>
        </is>
      </c>
      <c r="X504" s="26" t="inlineStr">
        <is>
          <t>Letterboxd</t>
        </is>
      </c>
    </row>
    <row r="505">
      <c r="A505" t="inlineStr">
        <is>
          <t>p0504</t>
        </is>
      </c>
      <c r="B505" t="inlineStr">
        <is>
          <t>El Show de Truman</t>
        </is>
      </c>
      <c r="C505" t="inlineStr">
        <is>
          <t>The Truman Show</t>
        </is>
      </c>
      <c r="D505" s="4" t="n">
        <v>1998</v>
      </c>
      <c r="E505" s="4">
        <f>IF(D505="","",FLOOR(D505,10))</f>
        <v/>
      </c>
      <c r="F505" s="22" t="n">
        <v>103</v>
      </c>
      <c r="G505" s="23" t="n">
        <v>7.7</v>
      </c>
      <c r="H505" t="inlineStr">
        <is>
          <t>Peter Weir</t>
        </is>
      </c>
      <c r="I505" t="inlineStr">
        <is>
          <t>Estados Unidos</t>
        </is>
      </c>
      <c r="J505" t="inlineStr">
        <is>
          <t>Comedia, Drama, Ciencia ficción</t>
        </is>
      </c>
      <c r="M505" s="6" t="n"/>
      <c r="O505" s="24" t="inlineStr"/>
      <c r="Q505" s="25" t="n"/>
      <c r="R505" s="25" t="n"/>
      <c r="S505" s="25" t="n"/>
      <c r="T505" s="25">
        <f>IF(AND(R505="",S505=""),"",N(R505)+N(S505))</f>
        <v/>
      </c>
      <c r="U505" s="25" t="n"/>
      <c r="V505" s="26" t="inlineStr">
        <is>
          <t>IMDb</t>
        </is>
      </c>
      <c r="W505" s="26" t="inlineStr">
        <is>
          <t>FilmAffinity</t>
        </is>
      </c>
      <c r="X505" s="26" t="inlineStr">
        <is>
          <t>Letterboxd</t>
        </is>
      </c>
    </row>
    <row r="506">
      <c r="A506" t="inlineStr">
        <is>
          <t>p0505</t>
        </is>
      </c>
      <c r="B506" t="inlineStr">
        <is>
          <t>Torrente, el brazo tonto de la ley</t>
        </is>
      </c>
      <c r="C506" t="inlineStr">
        <is>
          <t>Torrente, el brazo tonto de la ley</t>
        </is>
      </c>
      <c r="D506" s="4" t="n">
        <v>1998</v>
      </c>
      <c r="E506" s="4">
        <f>IF(D506="","",FLOOR(D506,10))</f>
        <v/>
      </c>
      <c r="F506" s="22" t="n">
        <v>97</v>
      </c>
      <c r="G506" s="23" t="n">
        <v>6.3</v>
      </c>
      <c r="H506" t="inlineStr">
        <is>
          <t>Santiago Segura</t>
        </is>
      </c>
      <c r="I506" t="inlineStr">
        <is>
          <t>España</t>
        </is>
      </c>
      <c r="J506" t="inlineStr">
        <is>
          <t>Comedia, Crimen</t>
        </is>
      </c>
      <c r="K506" t="inlineStr">
        <is>
          <t>Torrente</t>
        </is>
      </c>
      <c r="M506" s="6" t="n"/>
      <c r="O506" s="24" t="inlineStr"/>
      <c r="Q506" s="25" t="n"/>
      <c r="R506" s="25" t="n"/>
      <c r="S506" s="25" t="n"/>
      <c r="T506" s="25">
        <f>IF(AND(R506="",S506=""),"",N(R506)+N(S506))</f>
        <v/>
      </c>
      <c r="U506" s="25" t="n"/>
      <c r="V506" s="26" t="inlineStr">
        <is>
          <t>IMDb</t>
        </is>
      </c>
      <c r="W506" s="26" t="inlineStr">
        <is>
          <t>FilmAffinity</t>
        </is>
      </c>
      <c r="X506" s="26" t="inlineStr">
        <is>
          <t>Letterboxd</t>
        </is>
      </c>
    </row>
    <row r="507">
      <c r="A507" t="inlineStr">
        <is>
          <t>p0506</t>
        </is>
      </c>
      <c r="B507" t="inlineStr">
        <is>
          <t>Doraemon y los piratas de los mares del sur</t>
        </is>
      </c>
      <c r="C507" t="inlineStr">
        <is>
          <t>Doraemon: Nobita's Great Adventure in the South Seas</t>
        </is>
      </c>
      <c r="D507" s="4" t="n">
        <v>1998</v>
      </c>
      <c r="E507" s="4">
        <f>IF(D507="","",FLOOR(D507,10))</f>
        <v/>
      </c>
      <c r="F507" s="22" t="n">
        <v>85</v>
      </c>
      <c r="G507" s="23" t="n">
        <v>6.2</v>
      </c>
      <c r="H507" t="inlineStr">
        <is>
          <t>Tsutomu Shibayama</t>
        </is>
      </c>
      <c r="I507" t="inlineStr">
        <is>
          <t>Japón</t>
        </is>
      </c>
      <c r="J507" t="inlineStr">
        <is>
          <t>Animación, Aventura, Familiar</t>
        </is>
      </c>
      <c r="K507" t="inlineStr">
        <is>
          <t>Doraemon</t>
        </is>
      </c>
      <c r="M507" s="6" t="n"/>
      <c r="O507" s="24" t="inlineStr"/>
      <c r="Q507" s="25" t="n"/>
      <c r="R507" s="25" t="n"/>
      <c r="S507" s="25" t="n"/>
      <c r="T507" s="25">
        <f>IF(AND(R507="",S507=""),"",N(R507)+N(S507))</f>
        <v/>
      </c>
      <c r="U507" s="25" t="n"/>
      <c r="V507" s="26" t="inlineStr">
        <is>
          <t>IMDb</t>
        </is>
      </c>
      <c r="W507" s="26" t="inlineStr">
        <is>
          <t>FilmAffinity</t>
        </is>
      </c>
      <c r="X507" s="26" t="inlineStr">
        <is>
          <t>Letterboxd</t>
        </is>
      </c>
    </row>
    <row r="508">
      <c r="A508" t="inlineStr">
        <is>
          <t>p0507</t>
        </is>
      </c>
      <c r="B508" t="inlineStr">
        <is>
          <t>Pokémon: La Película</t>
        </is>
      </c>
      <c r="C508" t="inlineStr">
        <is>
          <t>Pokémon: The First Movie</t>
        </is>
      </c>
      <c r="D508" s="4" t="n">
        <v>1998</v>
      </c>
      <c r="E508" s="4">
        <f>IF(D508="","",FLOOR(D508,10))</f>
        <v/>
      </c>
      <c r="F508" s="22" t="n">
        <v>75</v>
      </c>
      <c r="G508" s="23" t="n">
        <v>6</v>
      </c>
      <c r="H508" t="inlineStr">
        <is>
          <t>Kunihiko Yuyama</t>
        </is>
      </c>
      <c r="I508" t="inlineStr">
        <is>
          <t>Japón</t>
        </is>
      </c>
      <c r="J508" t="inlineStr">
        <is>
          <t>Animación, Aventura</t>
        </is>
      </c>
      <c r="K508" t="inlineStr">
        <is>
          <t>Pokémon</t>
        </is>
      </c>
      <c r="M508" s="6" t="n"/>
      <c r="O508" s="24" t="inlineStr"/>
      <c r="Q508" s="25" t="n"/>
      <c r="R508" s="25" t="n"/>
      <c r="S508" s="25" t="n"/>
      <c r="T508" s="25">
        <f>IF(AND(R508="",S508=""),"",N(R508)+N(S508))</f>
        <v/>
      </c>
      <c r="U508" s="25" t="n"/>
      <c r="V508" s="26" t="inlineStr">
        <is>
          <t>IMDb</t>
        </is>
      </c>
      <c r="W508" s="26" t="inlineStr">
        <is>
          <t>FilmAffinity</t>
        </is>
      </c>
      <c r="X508" s="26" t="inlineStr">
        <is>
          <t>Letterboxd</t>
        </is>
      </c>
    </row>
    <row r="509">
      <c r="A509" t="inlineStr">
        <is>
          <t>p0508</t>
        </is>
      </c>
      <c r="B509" t="inlineStr">
        <is>
          <t>La máscara del Zorro</t>
        </is>
      </c>
      <c r="C509" t="inlineStr">
        <is>
          <t>The Mask of Zorro</t>
        </is>
      </c>
      <c r="D509" s="4" t="n">
        <v>1998</v>
      </c>
      <c r="E509" s="4">
        <f>IF(D509="","",FLOOR(D509,10))</f>
        <v/>
      </c>
      <c r="F509" s="22" t="n">
        <v>132</v>
      </c>
      <c r="G509" s="23" t="n">
        <v>5.4</v>
      </c>
      <c r="H509" t="inlineStr">
        <is>
          <t>Martin Campbell</t>
        </is>
      </c>
      <c r="I509" t="inlineStr">
        <is>
          <t>Estados Unidos</t>
        </is>
      </c>
      <c r="J509" t="inlineStr">
        <is>
          <t>Aventura, Acción, Western</t>
        </is>
      </c>
      <c r="M509" s="6" t="n"/>
      <c r="O509" s="24" t="inlineStr"/>
      <c r="Q509" s="25" t="n"/>
      <c r="R509" s="25" t="n"/>
      <c r="S509" s="25" t="n"/>
      <c r="T509" s="25">
        <f>IF(AND(R509="",S509=""),"",N(R509)+N(S509))</f>
        <v/>
      </c>
      <c r="U509" s="25" t="n"/>
      <c r="V509" s="26" t="inlineStr">
        <is>
          <t>IMDb</t>
        </is>
      </c>
      <c r="W509" s="26" t="inlineStr">
        <is>
          <t>FilmAffinity</t>
        </is>
      </c>
      <c r="X509" s="26" t="inlineStr">
        <is>
          <t>Letterboxd</t>
        </is>
      </c>
    </row>
    <row r="510">
      <c r="A510" t="inlineStr">
        <is>
          <t>p0509</t>
        </is>
      </c>
      <c r="B510" t="inlineStr">
        <is>
          <t>Shin-chan: Operación rescate</t>
        </is>
      </c>
      <c r="C510" t="inlineStr">
        <is>
          <t>Crayon Shin-chan: Blitzkrieg! Pig's Hoof's Secret Mission</t>
        </is>
      </c>
      <c r="D510" s="4" t="n">
        <v>1998</v>
      </c>
      <c r="E510" s="4">
        <f>IF(D510="","",FLOOR(D510,10))</f>
        <v/>
      </c>
      <c r="F510" s="22" t="n">
        <v>99</v>
      </c>
      <c r="G510" s="23" t="n">
        <v>5.3</v>
      </c>
      <c r="H510" t="inlineStr">
        <is>
          <t>Keiichi Hara</t>
        </is>
      </c>
      <c r="I510" t="inlineStr">
        <is>
          <t>Japón</t>
        </is>
      </c>
      <c r="J510" t="inlineStr">
        <is>
          <t>Animación, Comedia</t>
        </is>
      </c>
      <c r="K510" t="inlineStr">
        <is>
          <t>Shin Chan</t>
        </is>
      </c>
      <c r="M510" s="6" t="n"/>
      <c r="O510" s="24" t="inlineStr"/>
      <c r="Q510" s="25" t="n"/>
      <c r="R510" s="25" t="n"/>
      <c r="S510" s="25" t="n"/>
      <c r="T510" s="25">
        <f>IF(AND(R510="",S510=""),"",N(R510)+N(S510))</f>
        <v/>
      </c>
      <c r="U510" s="25" t="n"/>
      <c r="V510" s="26" t="inlineStr">
        <is>
          <t>IMDb</t>
        </is>
      </c>
      <c r="W510" s="26" t="inlineStr">
        <is>
          <t>FilmAffinity</t>
        </is>
      </c>
      <c r="X510" s="26" t="inlineStr">
        <is>
          <t>Letterboxd</t>
        </is>
      </c>
    </row>
    <row r="511">
      <c r="A511" t="inlineStr">
        <is>
          <t>p0510</t>
        </is>
      </c>
      <c r="B511" t="inlineStr">
        <is>
          <t>Deep Impact</t>
        </is>
      </c>
      <c r="C511" t="inlineStr">
        <is>
          <t>Deep Impact</t>
        </is>
      </c>
      <c r="D511" s="4" t="n">
        <v>1998</v>
      </c>
      <c r="E511" s="4">
        <f>IF(D511="","",FLOOR(D511,10))</f>
        <v/>
      </c>
      <c r="F511" s="22" t="n">
        <v>121</v>
      </c>
      <c r="G511" s="23" t="n">
        <v>5.1</v>
      </c>
      <c r="H511" t="inlineStr">
        <is>
          <t>Mimi Leder</t>
        </is>
      </c>
      <c r="I511" t="inlineStr">
        <is>
          <t>Estados Unidos</t>
        </is>
      </c>
      <c r="J511" t="inlineStr">
        <is>
          <t>Ciencia ficción, Drama</t>
        </is>
      </c>
      <c r="M511" s="6" t="n"/>
      <c r="O511" s="24" t="inlineStr"/>
      <c r="Q511" s="25" t="n"/>
      <c r="R511" s="25" t="n"/>
      <c r="S511" s="25" t="n"/>
      <c r="T511" s="25">
        <f>IF(AND(R511="",S511=""),"",N(R511)+N(S511))</f>
        <v/>
      </c>
      <c r="U511" s="25" t="n"/>
      <c r="V511" s="26" t="inlineStr">
        <is>
          <t>IMDb</t>
        </is>
      </c>
      <c r="W511" s="26" t="inlineStr">
        <is>
          <t>FilmAffinity</t>
        </is>
      </c>
      <c r="X511" s="26" t="inlineStr">
        <is>
          <t>Letterboxd</t>
        </is>
      </c>
    </row>
    <row r="512">
      <c r="A512" t="inlineStr">
        <is>
          <t>p0511</t>
        </is>
      </c>
      <c r="B512" t="inlineStr">
        <is>
          <t>La vida es bella</t>
        </is>
      </c>
      <c r="C512" t="inlineStr">
        <is>
          <t>Life Is Beautiful</t>
        </is>
      </c>
      <c r="D512" s="4" t="n">
        <v>1997</v>
      </c>
      <c r="E512" s="4">
        <f>IF(D512="","",FLOOR(D512,10))</f>
        <v/>
      </c>
      <c r="F512" s="22" t="n">
        <v>117</v>
      </c>
      <c r="G512" s="23" t="n">
        <v>9.9</v>
      </c>
      <c r="H512" t="inlineStr">
        <is>
          <t>Roberto Benigni</t>
        </is>
      </c>
      <c r="I512" t="inlineStr">
        <is>
          <t>Italia</t>
        </is>
      </c>
      <c r="J512" t="inlineStr">
        <is>
          <t>Comedia, Drama, Bélico</t>
        </is>
      </c>
      <c r="M512" s="6" t="n"/>
      <c r="O512" s="24" t="inlineStr"/>
      <c r="Q512" s="25" t="n">
        <v>11892</v>
      </c>
      <c r="R512" s="25" t="n">
        <v>57563264</v>
      </c>
      <c r="S512" s="25" t="n"/>
      <c r="T512" s="25">
        <f>IF(AND(R512="",S512=""),"",N(R512)+N(S512))</f>
        <v/>
      </c>
      <c r="U512" s="25" t="n"/>
      <c r="V512" s="26" t="inlineStr">
        <is>
          <t>IMDb</t>
        </is>
      </c>
      <c r="W512" s="26" t="inlineStr">
        <is>
          <t>FilmAffinity</t>
        </is>
      </c>
      <c r="X512" s="26" t="inlineStr">
        <is>
          <t>Letterboxd</t>
        </is>
      </c>
    </row>
    <row r="513">
      <c r="A513" t="inlineStr">
        <is>
          <t>p0512</t>
        </is>
      </c>
      <c r="B513" t="inlineStr">
        <is>
          <t>El Indomable Will Hunting</t>
        </is>
      </c>
      <c r="C513" t="inlineStr">
        <is>
          <t>Good Will Hunting</t>
        </is>
      </c>
      <c r="D513" s="4" t="n">
        <v>1997</v>
      </c>
      <c r="E513" s="4">
        <f>IF(D513="","",FLOOR(D513,10))</f>
        <v/>
      </c>
      <c r="F513" s="22" t="n">
        <v>126</v>
      </c>
      <c r="G513" s="23" t="n">
        <v>8.199999999999999</v>
      </c>
      <c r="H513" t="inlineStr">
        <is>
          <t>Gus van Sant</t>
        </is>
      </c>
      <c r="I513" t="inlineStr">
        <is>
          <t>Estados Unidos</t>
        </is>
      </c>
      <c r="J513" t="inlineStr">
        <is>
          <t>Drama</t>
        </is>
      </c>
      <c r="M513" s="6" t="n"/>
      <c r="O513" s="24" t="inlineStr"/>
      <c r="Q513" s="25" t="n"/>
      <c r="R513" s="25" t="n">
        <v>138433435</v>
      </c>
      <c r="S513" s="25" t="n"/>
      <c r="T513" s="25">
        <f>IF(AND(R513="",S513=""),"",N(R513)+N(S513))</f>
        <v/>
      </c>
      <c r="U513" s="25" t="n"/>
      <c r="V513" s="26" t="inlineStr">
        <is>
          <t>IMDb</t>
        </is>
      </c>
      <c r="W513" s="26" t="inlineStr">
        <is>
          <t>FilmAffinity</t>
        </is>
      </c>
      <c r="X513" s="26" t="inlineStr">
        <is>
          <t>Letterboxd</t>
        </is>
      </c>
    </row>
    <row r="514">
      <c r="A514" t="inlineStr">
        <is>
          <t>p0513</t>
        </is>
      </c>
      <c r="B514" t="inlineStr">
        <is>
          <t>La princesa Mononoke</t>
        </is>
      </c>
      <c r="C514" t="inlineStr">
        <is>
          <t>Princess Mononoke</t>
        </is>
      </c>
      <c r="D514" s="4" t="n">
        <v>1997</v>
      </c>
      <c r="E514" s="4">
        <f>IF(D514="","",FLOOR(D514,10))</f>
        <v/>
      </c>
      <c r="F514" s="22" t="n">
        <v>133</v>
      </c>
      <c r="G514" s="23" t="n">
        <v>8.1</v>
      </c>
      <c r="H514" t="inlineStr">
        <is>
          <t>Hayao Miyazaki</t>
        </is>
      </c>
      <c r="I514" t="inlineStr">
        <is>
          <t>Japón</t>
        </is>
      </c>
      <c r="J514" t="inlineStr">
        <is>
          <t>Animación, Fantasía, Aventura</t>
        </is>
      </c>
      <c r="M514" s="6" t="n"/>
      <c r="O514" s="24" t="inlineStr"/>
      <c r="Q514" s="25" t="n"/>
      <c r="R514" s="25" t="n"/>
      <c r="S514" s="25" t="n"/>
      <c r="T514" s="25">
        <f>IF(AND(R514="",S514=""),"",N(R514)+N(S514))</f>
        <v/>
      </c>
      <c r="U514" s="25" t="n"/>
      <c r="V514" s="26" t="inlineStr">
        <is>
          <t>IMDb</t>
        </is>
      </c>
      <c r="W514" s="26" t="inlineStr">
        <is>
          <t>FilmAffinity</t>
        </is>
      </c>
      <c r="X514" s="26" t="inlineStr">
        <is>
          <t>Letterboxd</t>
        </is>
      </c>
    </row>
    <row r="515">
      <c r="A515" t="inlineStr">
        <is>
          <t>p0514</t>
        </is>
      </c>
      <c r="B515" t="inlineStr">
        <is>
          <t>Perfect Blue</t>
        </is>
      </c>
      <c r="C515" t="inlineStr">
        <is>
          <t>Perfect Blue</t>
        </is>
      </c>
      <c r="D515" s="4" t="n">
        <v>1997</v>
      </c>
      <c r="E515" s="4">
        <f>IF(D515="","",FLOOR(D515,10))</f>
        <v/>
      </c>
      <c r="F515" s="22" t="n">
        <v>81</v>
      </c>
      <c r="G515" s="23" t="n">
        <v>7.9</v>
      </c>
      <c r="H515" t="inlineStr">
        <is>
          <t>Satoshi Kon</t>
        </is>
      </c>
      <c r="I515" t="inlineStr">
        <is>
          <t>Japón</t>
        </is>
      </c>
      <c r="J515" t="inlineStr">
        <is>
          <t>Animación, Thriller, Terror</t>
        </is>
      </c>
      <c r="M515" s="6" t="n"/>
      <c r="O515" s="24" t="inlineStr"/>
      <c r="Q515" s="25" t="n"/>
      <c r="R515" s="25" t="n"/>
      <c r="S515" s="25" t="n"/>
      <c r="T515" s="25">
        <f>IF(AND(R515="",S515=""),"",N(R515)+N(S515))</f>
        <v/>
      </c>
      <c r="U515" s="25" t="n"/>
      <c r="V515" s="26" t="inlineStr">
        <is>
          <t>IMDb</t>
        </is>
      </c>
      <c r="W515" s="26" t="inlineStr">
        <is>
          <t>FilmAffinity</t>
        </is>
      </c>
      <c r="X515" s="26" t="inlineStr">
        <is>
          <t>Letterboxd</t>
        </is>
      </c>
    </row>
    <row r="516">
      <c r="A516" t="inlineStr">
        <is>
          <t>p0515</t>
        </is>
      </c>
      <c r="B516" t="inlineStr">
        <is>
          <t>Funny Games</t>
        </is>
      </c>
      <c r="C516" t="inlineStr">
        <is>
          <t>Funny Games</t>
        </is>
      </c>
      <c r="D516" s="4" t="n">
        <v>1997</v>
      </c>
      <c r="E516" s="4">
        <f>IF(D516="","",FLOOR(D516,10))</f>
        <v/>
      </c>
      <c r="F516" s="22" t="n">
        <v>108</v>
      </c>
      <c r="G516" s="23" t="n">
        <v>7.5</v>
      </c>
      <c r="H516" t="inlineStr">
        <is>
          <t>Michael Haneke</t>
        </is>
      </c>
      <c r="I516" t="inlineStr">
        <is>
          <t>Austria</t>
        </is>
      </c>
      <c r="J516" t="inlineStr">
        <is>
          <t>Thriller, Terror</t>
        </is>
      </c>
      <c r="M516" s="6" t="n"/>
      <c r="O516" s="24" t="inlineStr"/>
      <c r="Q516" s="25" t="n"/>
      <c r="R516" s="25" t="n"/>
      <c r="S516" s="25" t="n"/>
      <c r="T516" s="25">
        <f>IF(AND(R516="",S516=""),"",N(R516)+N(S516))</f>
        <v/>
      </c>
      <c r="U516" s="25" t="n"/>
      <c r="V516" s="26" t="inlineStr">
        <is>
          <t>IMDb</t>
        </is>
      </c>
      <c r="W516" s="26" t="inlineStr">
        <is>
          <t>FilmAffinity</t>
        </is>
      </c>
      <c r="X516" s="26" t="inlineStr">
        <is>
          <t>Letterboxd</t>
        </is>
      </c>
    </row>
    <row r="517">
      <c r="A517" t="inlineStr">
        <is>
          <t>p0516</t>
        </is>
      </c>
      <c r="B517" t="inlineStr">
        <is>
          <t>Mejor... imposible</t>
        </is>
      </c>
      <c r="C517" t="inlineStr">
        <is>
          <t>As Good as It Gets</t>
        </is>
      </c>
      <c r="D517" s="4" t="n">
        <v>1997</v>
      </c>
      <c r="E517" s="4">
        <f>IF(D517="","",FLOOR(D517,10))</f>
        <v/>
      </c>
      <c r="F517" s="22" t="n">
        <v>138</v>
      </c>
      <c r="G517" s="23" t="n">
        <v>7.3</v>
      </c>
      <c r="H517" t="inlineStr">
        <is>
          <t>James L. Brooks</t>
        </is>
      </c>
      <c r="I517" t="inlineStr">
        <is>
          <t>Estados Unidos</t>
        </is>
      </c>
      <c r="J517" t="inlineStr">
        <is>
          <t>Comedia, Romance, Drama</t>
        </is>
      </c>
      <c r="M517" s="6" t="n"/>
      <c r="O517" s="24" t="inlineStr"/>
      <c r="Q517" s="25" t="n">
        <v>12606928</v>
      </c>
      <c r="R517" s="25" t="n">
        <v>148478011</v>
      </c>
      <c r="S517" s="25" t="n"/>
      <c r="T517" s="25">
        <f>IF(AND(R517="",S517=""),"",N(R517)+N(S517))</f>
        <v/>
      </c>
      <c r="U517" s="25" t="n"/>
      <c r="V517" s="26" t="inlineStr">
        <is>
          <t>IMDb</t>
        </is>
      </c>
      <c r="W517" s="26" t="inlineStr">
        <is>
          <t>FilmAffinity</t>
        </is>
      </c>
      <c r="X517" s="26" t="inlineStr">
        <is>
          <t>Letterboxd</t>
        </is>
      </c>
    </row>
    <row r="518">
      <c r="A518" t="inlineStr">
        <is>
          <t>p0517</t>
        </is>
      </c>
      <c r="B518" t="inlineStr">
        <is>
          <t>Men in Black</t>
        </is>
      </c>
      <c r="C518" t="inlineStr">
        <is>
          <t>Men in Black</t>
        </is>
      </c>
      <c r="D518" s="4" t="n">
        <v>1997</v>
      </c>
      <c r="E518" s="4">
        <f>IF(D518="","",FLOOR(D518,10))</f>
        <v/>
      </c>
      <c r="F518" s="22" t="n">
        <v>98</v>
      </c>
      <c r="G518" s="23" t="n">
        <v>7</v>
      </c>
      <c r="H518" t="inlineStr">
        <is>
          <t>Barry Sonnenfeld</t>
        </is>
      </c>
      <c r="I518" t="inlineStr">
        <is>
          <t>Estados Unidos</t>
        </is>
      </c>
      <c r="J518" t="inlineStr">
        <is>
          <t>Ciencia ficción, Comedia, Acción</t>
        </is>
      </c>
      <c r="K518" t="inlineStr">
        <is>
          <t>Men in Black</t>
        </is>
      </c>
      <c r="M518" s="6" t="n"/>
      <c r="O518" s="24" t="inlineStr"/>
      <c r="Q518" s="25" t="n">
        <v>51068455</v>
      </c>
      <c r="R518" s="25" t="n">
        <v>250690539</v>
      </c>
      <c r="S518" s="25" t="n"/>
      <c r="T518" s="25">
        <f>IF(AND(R518="",S518=""),"",N(R518)+N(S518))</f>
        <v/>
      </c>
      <c r="U518" s="25" t="n"/>
      <c r="V518" s="26" t="inlineStr">
        <is>
          <t>IMDb</t>
        </is>
      </c>
      <c r="W518" s="26" t="inlineStr">
        <is>
          <t>FilmAffinity</t>
        </is>
      </c>
      <c r="X518" s="26" t="inlineStr">
        <is>
          <t>Letterboxd</t>
        </is>
      </c>
    </row>
    <row r="519">
      <c r="A519" t="inlineStr">
        <is>
          <t>p0518</t>
        </is>
      </c>
      <c r="B519" t="inlineStr">
        <is>
          <t>Carne trémula</t>
        </is>
      </c>
      <c r="C519" t="inlineStr">
        <is>
          <t>Carne trémula</t>
        </is>
      </c>
      <c r="D519" s="4" t="n">
        <v>1997</v>
      </c>
      <c r="E519" s="4">
        <f>IF(D519="","",FLOOR(D519,10))</f>
        <v/>
      </c>
      <c r="F519" s="22" t="n">
        <v>101</v>
      </c>
      <c r="G519" s="23" t="n">
        <v>6.3</v>
      </c>
      <c r="H519" t="inlineStr">
        <is>
          <t>Pedro Almodóvar</t>
        </is>
      </c>
      <c r="I519" t="inlineStr">
        <is>
          <t>España</t>
        </is>
      </c>
      <c r="J519" t="inlineStr">
        <is>
          <t>Drama, Thriller</t>
        </is>
      </c>
      <c r="M519" s="6" t="n"/>
      <c r="O519" s="24" t="inlineStr"/>
      <c r="Q519" s="25" t="n"/>
      <c r="R519" s="25" t="n"/>
      <c r="S519" s="25" t="n"/>
      <c r="T519" s="25">
        <f>IF(AND(R519="",S519=""),"",N(R519)+N(S519))</f>
        <v/>
      </c>
      <c r="U519" s="25" t="n"/>
      <c r="V519" s="26" t="inlineStr">
        <is>
          <t>IMDb</t>
        </is>
      </c>
      <c r="W519" s="26" t="inlineStr">
        <is>
          <t>FilmAffinity</t>
        </is>
      </c>
      <c r="X519" s="26" t="inlineStr">
        <is>
          <t>Letterboxd</t>
        </is>
      </c>
    </row>
    <row r="520">
      <c r="A520" t="inlineStr">
        <is>
          <t>p0519</t>
        </is>
      </c>
      <c r="B520" t="inlineStr">
        <is>
          <t>Detective Conan: Peligro en el Rascacielos</t>
        </is>
      </c>
      <c r="C520" t="inlineStr">
        <is>
          <t>Detective Conan: The Time-Bombed Skyscraper</t>
        </is>
      </c>
      <c r="D520" s="4" t="n">
        <v>1997</v>
      </c>
      <c r="E520" s="4">
        <f>IF(D520="","",FLOOR(D520,10))</f>
        <v/>
      </c>
      <c r="F520" s="22" t="n">
        <v>99</v>
      </c>
      <c r="G520" s="23" t="n">
        <v>6</v>
      </c>
      <c r="H520" t="inlineStr">
        <is>
          <t>Kenji Kodama</t>
        </is>
      </c>
      <c r="I520" t="inlineStr">
        <is>
          <t>Japón</t>
        </is>
      </c>
      <c r="J520" t="inlineStr">
        <is>
          <t>Animación, Misterio</t>
        </is>
      </c>
      <c r="K520" t="inlineStr">
        <is>
          <t>Detective Conan</t>
        </is>
      </c>
      <c r="M520" s="6" t="n"/>
      <c r="O520" s="24" t="inlineStr"/>
      <c r="Q520" s="25" t="n"/>
      <c r="R520" s="25" t="n"/>
      <c r="S520" s="25" t="n"/>
      <c r="T520" s="25">
        <f>IF(AND(R520="",S520=""),"",N(R520)+N(S520))</f>
        <v/>
      </c>
      <c r="U520" s="25" t="n"/>
      <c r="V520" s="26" t="inlineStr">
        <is>
          <t>IMDb</t>
        </is>
      </c>
      <c r="W520" s="26" t="inlineStr">
        <is>
          <t>FilmAffinity</t>
        </is>
      </c>
      <c r="X520" s="26" t="inlineStr">
        <is>
          <t>Letterboxd</t>
        </is>
      </c>
    </row>
    <row r="521">
      <c r="A521" t="inlineStr">
        <is>
          <t>p0520</t>
        </is>
      </c>
      <c r="B521" t="inlineStr">
        <is>
          <t>Shin-chan: en busca de las bolas perdidas</t>
        </is>
      </c>
      <c r="C521" t="inlineStr">
        <is>
          <t>Crayon Shin-chan: Pursuit of the Balls of Darkness</t>
        </is>
      </c>
      <c r="D521" s="4" t="n">
        <v>1997</v>
      </c>
      <c r="E521" s="4">
        <f>IF(D521="","",FLOOR(D521,10))</f>
        <v/>
      </c>
      <c r="F521" s="22" t="n">
        <v>99</v>
      </c>
      <c r="G521" s="23" t="n">
        <v>6</v>
      </c>
      <c r="H521" t="inlineStr">
        <is>
          <t>Keiichi Hara</t>
        </is>
      </c>
      <c r="I521" t="inlineStr">
        <is>
          <t>Japón</t>
        </is>
      </c>
      <c r="J521" t="inlineStr">
        <is>
          <t>Animación, Comedia</t>
        </is>
      </c>
      <c r="K521" t="inlineStr">
        <is>
          <t>Shin Chan</t>
        </is>
      </c>
      <c r="M521" s="6" t="n"/>
      <c r="O521" s="24" t="inlineStr"/>
      <c r="Q521" s="25" t="n"/>
      <c r="R521" s="25" t="n"/>
      <c r="S521" s="25" t="n"/>
      <c r="T521" s="25">
        <f>IF(AND(R521="",S521=""),"",N(R521)+N(S521))</f>
        <v/>
      </c>
      <c r="U521" s="25" t="n"/>
      <c r="V521" s="26" t="inlineStr">
        <is>
          <t>IMDb</t>
        </is>
      </c>
      <c r="W521" s="26" t="inlineStr">
        <is>
          <t>FilmAffinity</t>
        </is>
      </c>
      <c r="X521" s="26" t="inlineStr">
        <is>
          <t>Letterboxd</t>
        </is>
      </c>
    </row>
    <row r="522">
      <c r="A522" t="inlineStr">
        <is>
          <t>p0521</t>
        </is>
      </c>
      <c r="B522" t="inlineStr">
        <is>
          <t>Hércules</t>
        </is>
      </c>
      <c r="C522" t="inlineStr">
        <is>
          <t>Hercules</t>
        </is>
      </c>
      <c r="D522" s="4" t="n">
        <v>1997</v>
      </c>
      <c r="E522" s="4">
        <f>IF(D522="","",FLOOR(D522,10))</f>
        <v/>
      </c>
      <c r="F522" s="22" t="n">
        <v>93</v>
      </c>
      <c r="G522" s="23" t="n">
        <v>5.9</v>
      </c>
      <c r="H522" t="inlineStr">
        <is>
          <t>John Musker / Ron Clements</t>
        </is>
      </c>
      <c r="I522" t="inlineStr">
        <is>
          <t>Estados Unidos</t>
        </is>
      </c>
      <c r="J522" t="inlineStr">
        <is>
          <t>Animación, Musical, Fantasía</t>
        </is>
      </c>
      <c r="M522" s="6" t="n"/>
      <c r="O522" s="24" t="inlineStr"/>
      <c r="Q522" s="25" t="n"/>
      <c r="R522" s="25" t="n"/>
      <c r="S522" s="25" t="n"/>
      <c r="T522" s="25">
        <f>IF(AND(R522="",S522=""),"",N(R522)+N(S522))</f>
        <v/>
      </c>
      <c r="U522" s="25" t="n"/>
      <c r="V522" s="26" t="inlineStr">
        <is>
          <t>IMDb</t>
        </is>
      </c>
      <c r="W522" s="26" t="inlineStr">
        <is>
          <t>FilmAffinity</t>
        </is>
      </c>
      <c r="X522" s="26" t="inlineStr">
        <is>
          <t>Letterboxd</t>
        </is>
      </c>
    </row>
    <row r="523">
      <c r="A523" t="inlineStr">
        <is>
          <t>p0522</t>
        </is>
      </c>
      <c r="B523" t="inlineStr">
        <is>
          <t>Doraemon y la fábrica de juguetes</t>
        </is>
      </c>
      <c r="C523" t="inlineStr">
        <is>
          <t>Doraemon: Nobita and the Spiral City</t>
        </is>
      </c>
      <c r="D523" s="4" t="n">
        <v>1997</v>
      </c>
      <c r="E523" s="4">
        <f>IF(D523="","",FLOOR(D523,10))</f>
        <v/>
      </c>
      <c r="F523" s="22" t="n">
        <v>97</v>
      </c>
      <c r="G523" s="23" t="n">
        <v>5.2</v>
      </c>
      <c r="H523" t="inlineStr">
        <is>
          <t>Tsutomu Shibayama</t>
        </is>
      </c>
      <c r="I523" t="inlineStr">
        <is>
          <t>Japón</t>
        </is>
      </c>
      <c r="J523" t="inlineStr">
        <is>
          <t>Animación, Familiar</t>
        </is>
      </c>
      <c r="K523" t="inlineStr">
        <is>
          <t>Doraemon</t>
        </is>
      </c>
      <c r="M523" s="6" t="n"/>
      <c r="O523" s="24" t="inlineStr"/>
      <c r="Q523" s="25" t="n"/>
      <c r="R523" s="25" t="n"/>
      <c r="S523" s="25" t="n"/>
      <c r="T523" s="25">
        <f>IF(AND(R523="",S523=""),"",N(R523)+N(S523))</f>
        <v/>
      </c>
      <c r="U523" s="25" t="n"/>
      <c r="V523" s="26" t="inlineStr">
        <is>
          <t>IMDb</t>
        </is>
      </c>
      <c r="W523" s="26" t="inlineStr">
        <is>
          <t>FilmAffinity</t>
        </is>
      </c>
      <c r="X523" s="26" t="inlineStr">
        <is>
          <t>Letterboxd</t>
        </is>
      </c>
    </row>
    <row r="524">
      <c r="A524" t="inlineStr">
        <is>
          <t>p0523</t>
        </is>
      </c>
      <c r="B524" t="inlineStr">
        <is>
          <t>Anaconda</t>
        </is>
      </c>
      <c r="C524" t="inlineStr">
        <is>
          <t>Anaconda</t>
        </is>
      </c>
      <c r="D524" s="4" t="n">
        <v>1997</v>
      </c>
      <c r="E524" s="4">
        <f>IF(D524="","",FLOOR(D524,10))</f>
        <v/>
      </c>
      <c r="F524" s="22" t="n">
        <v>90</v>
      </c>
      <c r="G524" s="23" t="n">
        <v>3.1</v>
      </c>
      <c r="H524" t="inlineStr">
        <is>
          <t>Luis Llosa</t>
        </is>
      </c>
      <c r="I524" t="inlineStr">
        <is>
          <t>Estados Unidos</t>
        </is>
      </c>
      <c r="J524" t="inlineStr">
        <is>
          <t>Terror, Acción, Aventura</t>
        </is>
      </c>
      <c r="M524" s="6" t="n"/>
      <c r="O524" s="24" t="inlineStr"/>
      <c r="Q524" s="25" t="n"/>
      <c r="R524" s="25" t="n"/>
      <c r="S524" s="25" t="n"/>
      <c r="T524" s="25">
        <f>IF(AND(R524="",S524=""),"",N(R524)+N(S524))</f>
        <v/>
      </c>
      <c r="U524" s="25" t="n"/>
      <c r="V524" s="26" t="inlineStr">
        <is>
          <t>IMDb</t>
        </is>
      </c>
      <c r="W524" s="26" t="inlineStr">
        <is>
          <t>FilmAffinity</t>
        </is>
      </c>
      <c r="X524" s="26" t="inlineStr">
        <is>
          <t>Letterboxd</t>
        </is>
      </c>
    </row>
    <row r="525">
      <c r="A525" t="inlineStr">
        <is>
          <t>p0524</t>
        </is>
      </c>
      <c r="B525" t="inlineStr">
        <is>
          <t>Trainspotting</t>
        </is>
      </c>
      <c r="C525" t="inlineStr">
        <is>
          <t>Trainspotting</t>
        </is>
      </c>
      <c r="D525" s="4" t="n">
        <v>1996</v>
      </c>
      <c r="E525" s="4">
        <f>IF(D525="","",FLOOR(D525,10))</f>
        <v/>
      </c>
      <c r="F525" s="22" t="n">
        <v>90</v>
      </c>
      <c r="G525" s="23" t="n">
        <v>8</v>
      </c>
      <c r="H525" t="inlineStr">
        <is>
          <t>Danny Boyle</t>
        </is>
      </c>
      <c r="I525" t="inlineStr">
        <is>
          <t>Reino Unido</t>
        </is>
      </c>
      <c r="J525" t="inlineStr">
        <is>
          <t>Drama, Comedia</t>
        </is>
      </c>
      <c r="M525" s="6" t="n"/>
      <c r="O525" s="24" t="inlineStr"/>
      <c r="Q525" s="25" t="n">
        <v>262673</v>
      </c>
      <c r="R525" s="25" t="n">
        <v>16892333</v>
      </c>
      <c r="S525" s="25" t="n"/>
      <c r="T525" s="25">
        <f>IF(AND(R525="",S525=""),"",N(R525)+N(S525))</f>
        <v/>
      </c>
      <c r="U525" s="25" t="n"/>
      <c r="V525" s="26" t="inlineStr">
        <is>
          <t>IMDb</t>
        </is>
      </c>
      <c r="W525" s="26" t="inlineStr">
        <is>
          <t>FilmAffinity</t>
        </is>
      </c>
      <c r="X525" s="26" t="inlineStr">
        <is>
          <t>Letterboxd</t>
        </is>
      </c>
    </row>
    <row r="526">
      <c r="A526" t="inlineStr">
        <is>
          <t>p0525</t>
        </is>
      </c>
      <c r="B526" t="inlineStr">
        <is>
          <t>Las Dos Caras de la Verdad</t>
        </is>
      </c>
      <c r="C526" t="inlineStr">
        <is>
          <t>Primal Fear</t>
        </is>
      </c>
      <c r="D526" s="4" t="n">
        <v>1996</v>
      </c>
      <c r="E526" s="4">
        <f>IF(D526="","",FLOOR(D526,10))</f>
        <v/>
      </c>
      <c r="F526" s="22" t="n">
        <v>131</v>
      </c>
      <c r="G526" s="23" t="n">
        <v>7.8</v>
      </c>
      <c r="H526" t="inlineStr">
        <is>
          <t>Gregory Hoblit</t>
        </is>
      </c>
      <c r="I526" t="inlineStr">
        <is>
          <t>Estados Unidos</t>
        </is>
      </c>
      <c r="J526" t="inlineStr">
        <is>
          <t>Thriller, Crimen, Misterio</t>
        </is>
      </c>
      <c r="M526" s="6" t="n"/>
      <c r="O526" s="24" t="inlineStr"/>
      <c r="Q526" s="25" t="n">
        <v>9871222</v>
      </c>
      <c r="R526" s="25" t="n">
        <v>56116183</v>
      </c>
      <c r="S526" s="25" t="n"/>
      <c r="T526" s="25">
        <f>IF(AND(R526="",S526=""),"",N(R526)+N(S526))</f>
        <v/>
      </c>
      <c r="U526" s="25" t="n"/>
      <c r="V526" s="26" t="inlineStr">
        <is>
          <t>IMDb</t>
        </is>
      </c>
      <c r="W526" s="26" t="inlineStr">
        <is>
          <t>FilmAffinity</t>
        </is>
      </c>
      <c r="X526" s="26" t="inlineStr">
        <is>
          <t>Letterboxd</t>
        </is>
      </c>
    </row>
    <row r="527">
      <c r="A527" t="inlineStr">
        <is>
          <t>p0526</t>
        </is>
      </c>
      <c r="B527" t="inlineStr">
        <is>
          <t>Tesis</t>
        </is>
      </c>
      <c r="C527" t="inlineStr">
        <is>
          <t>Tesis</t>
        </is>
      </c>
      <c r="D527" s="4" t="n">
        <v>1996</v>
      </c>
      <c r="E527" s="4">
        <f>IF(D527="","",FLOOR(D527,10))</f>
        <v/>
      </c>
      <c r="F527" s="22" t="n">
        <v>125</v>
      </c>
      <c r="G527" s="23" t="n">
        <v>7.4</v>
      </c>
      <c r="H527" t="inlineStr">
        <is>
          <t>Alejandro Amenábar</t>
        </is>
      </c>
      <c r="I527" t="inlineStr">
        <is>
          <t>España</t>
        </is>
      </c>
      <c r="J527" t="inlineStr">
        <is>
          <t>Thriller, Terror</t>
        </is>
      </c>
      <c r="M527" s="6" t="n"/>
      <c r="O527" s="24" t="inlineStr"/>
      <c r="Q527" s="25" t="n"/>
      <c r="R527" s="25" t="n"/>
      <c r="S527" s="25" t="n"/>
      <c r="T527" s="25">
        <f>IF(AND(R527="",S527=""),"",N(R527)+N(S527))</f>
        <v/>
      </c>
      <c r="U527" s="25" t="n"/>
      <c r="V527" s="26" t="inlineStr">
        <is>
          <t>IMDb</t>
        </is>
      </c>
      <c r="W527" s="26" t="inlineStr">
        <is>
          <t>FilmAffinity</t>
        </is>
      </c>
      <c r="X527" s="26" t="inlineStr">
        <is>
          <t>Letterboxd</t>
        </is>
      </c>
    </row>
    <row r="528">
      <c r="A528" t="inlineStr">
        <is>
          <t>p0527</t>
        </is>
      </c>
      <c r="B528" t="inlineStr">
        <is>
          <t>Fargo</t>
        </is>
      </c>
      <c r="C528" t="inlineStr">
        <is>
          <t>Fargo</t>
        </is>
      </c>
      <c r="D528" s="4" t="n">
        <v>1996</v>
      </c>
      <c r="E528" s="4">
        <f>IF(D528="","",FLOOR(D528,10))</f>
        <v/>
      </c>
      <c r="F528" s="22" t="n">
        <v>97</v>
      </c>
      <c r="G528" s="23" t="n">
        <v>7.2</v>
      </c>
      <c r="H528" t="inlineStr">
        <is>
          <t>Joel Coen</t>
        </is>
      </c>
      <c r="I528" t="inlineStr">
        <is>
          <t>Estados Unidos</t>
        </is>
      </c>
      <c r="J528" t="inlineStr">
        <is>
          <t>Crimen, Thriller, Comedia</t>
        </is>
      </c>
      <c r="M528" s="6" t="n"/>
      <c r="O528" s="24" t="inlineStr"/>
      <c r="Q528" s="25" t="n"/>
      <c r="R528" s="25" t="n"/>
      <c r="S528" s="25" t="n"/>
      <c r="T528" s="25">
        <f>IF(AND(R528="",S528=""),"",N(R528)+N(S528))</f>
        <v/>
      </c>
      <c r="U528" s="25" t="n"/>
      <c r="V528" s="26" t="inlineStr">
        <is>
          <t>IMDb</t>
        </is>
      </c>
      <c r="W528" s="26" t="inlineStr">
        <is>
          <t>FilmAffinity</t>
        </is>
      </c>
      <c r="X528" s="26" t="inlineStr">
        <is>
          <t>Letterboxd</t>
        </is>
      </c>
    </row>
    <row r="529">
      <c r="A529" t="inlineStr">
        <is>
          <t>p0528</t>
        </is>
      </c>
      <c r="B529" t="inlineStr">
        <is>
          <t>El jorobado de Notre Dame</t>
        </is>
      </c>
      <c r="C529" t="inlineStr">
        <is>
          <t>The Hunchback of Notre Dame</t>
        </is>
      </c>
      <c r="D529" s="4" t="n">
        <v>1996</v>
      </c>
      <c r="E529" s="4">
        <f>IF(D529="","",FLOOR(D529,10))</f>
        <v/>
      </c>
      <c r="F529" s="22" t="n">
        <v>90</v>
      </c>
      <c r="G529" s="23" t="n">
        <v>6.7</v>
      </c>
      <c r="H529" t="inlineStr">
        <is>
          <t>Gary Trousdale / Kirk Wise</t>
        </is>
      </c>
      <c r="I529" t="inlineStr">
        <is>
          <t>Estados Unidos</t>
        </is>
      </c>
      <c r="J529" t="inlineStr">
        <is>
          <t>Animación, Musical, Familiar</t>
        </is>
      </c>
      <c r="M529" s="6" t="n"/>
      <c r="O529" s="24" t="inlineStr"/>
      <c r="Q529" s="25" t="n"/>
      <c r="R529" s="25" t="n"/>
      <c r="S529" s="25" t="n"/>
      <c r="T529" s="25">
        <f>IF(AND(R529="",S529=""),"",N(R529)+N(S529))</f>
        <v/>
      </c>
      <c r="U529" s="25" t="n"/>
      <c r="V529" s="26" t="inlineStr">
        <is>
          <t>IMDb</t>
        </is>
      </c>
      <c r="W529" s="26" t="inlineStr">
        <is>
          <t>FilmAffinity</t>
        </is>
      </c>
      <c r="X529" s="26" t="inlineStr">
        <is>
          <t>Letterboxd</t>
        </is>
      </c>
    </row>
    <row r="530">
      <c r="A530" t="inlineStr">
        <is>
          <t>p0529</t>
        </is>
      </c>
      <c r="B530" t="inlineStr">
        <is>
          <t>Doraemon y el tren del tiempo</t>
        </is>
      </c>
      <c r="C530" t="inlineStr">
        <is>
          <t>Doraemon: Nobita and the Galaxy Super-express</t>
        </is>
      </c>
      <c r="D530" s="4" t="n">
        <v>1996</v>
      </c>
      <c r="E530" s="4">
        <f>IF(D530="","",FLOOR(D530,10))</f>
        <v/>
      </c>
      <c r="F530" s="22" t="n">
        <v>97</v>
      </c>
      <c r="G530" s="23" t="n">
        <v>6.3</v>
      </c>
      <c r="H530" t="inlineStr">
        <is>
          <t>Tsutomu Shibayama</t>
        </is>
      </c>
      <c r="I530" t="inlineStr">
        <is>
          <t>Japón</t>
        </is>
      </c>
      <c r="J530" t="inlineStr">
        <is>
          <t>Animación, Aventura, Familiar</t>
        </is>
      </c>
      <c r="K530" t="inlineStr">
        <is>
          <t>Doraemon</t>
        </is>
      </c>
      <c r="M530" s="6" t="n"/>
      <c r="O530" s="24" t="inlineStr"/>
      <c r="Q530" s="25" t="n"/>
      <c r="R530" s="25" t="n"/>
      <c r="S530" s="25" t="n"/>
      <c r="T530" s="25">
        <f>IF(AND(R530="",S530=""),"",N(R530)+N(S530))</f>
        <v/>
      </c>
      <c r="U530" s="25" t="n"/>
      <c r="V530" s="26" t="inlineStr">
        <is>
          <t>IMDb</t>
        </is>
      </c>
      <c r="W530" s="26" t="inlineStr">
        <is>
          <t>FilmAffinity</t>
        </is>
      </c>
      <c r="X530" s="26" t="inlineStr">
        <is>
          <t>Letterboxd</t>
        </is>
      </c>
    </row>
    <row r="531">
      <c r="A531" t="inlineStr">
        <is>
          <t>p0530</t>
        </is>
      </c>
      <c r="B531" t="inlineStr">
        <is>
          <t>Shin Chan: Aventuras en Henderland</t>
        </is>
      </c>
      <c r="C531" t="inlineStr">
        <is>
          <t>Crayon Shin-chan: Adventure in Henderland</t>
        </is>
      </c>
      <c r="D531" s="4" t="n">
        <v>1996</v>
      </c>
      <c r="E531" s="4">
        <f>IF(D531="","",FLOOR(D531,10))</f>
        <v/>
      </c>
      <c r="F531" s="22" t="n">
        <v>96</v>
      </c>
      <c r="G531" s="23" t="n">
        <v>6.2</v>
      </c>
      <c r="H531" t="inlineStr">
        <is>
          <t>Mitsuru Hongo</t>
        </is>
      </c>
      <c r="I531" t="inlineStr">
        <is>
          <t>Japón</t>
        </is>
      </c>
      <c r="J531" t="inlineStr">
        <is>
          <t>Animación, Comedia</t>
        </is>
      </c>
      <c r="K531" t="inlineStr">
        <is>
          <t>Shin Chan</t>
        </is>
      </c>
      <c r="M531" s="6" t="n"/>
      <c r="O531" s="24" t="inlineStr"/>
      <c r="Q531" s="25" t="n"/>
      <c r="R531" s="25" t="n"/>
      <c r="S531" s="25" t="n"/>
      <c r="T531" s="25">
        <f>IF(AND(R531="",S531=""),"",N(R531)+N(S531))</f>
        <v/>
      </c>
      <c r="U531" s="25" t="n"/>
      <c r="V531" s="26" t="inlineStr">
        <is>
          <t>IMDb</t>
        </is>
      </c>
      <c r="W531" s="26" t="inlineStr">
        <is>
          <t>FilmAffinity</t>
        </is>
      </c>
      <c r="X531" s="26" t="inlineStr">
        <is>
          <t>Letterboxd</t>
        </is>
      </c>
    </row>
    <row r="532">
      <c r="A532" t="inlineStr">
        <is>
          <t>p0531</t>
        </is>
      </c>
      <c r="B532" t="inlineStr">
        <is>
          <t>Scream</t>
        </is>
      </c>
      <c r="C532" t="inlineStr">
        <is>
          <t>Scream</t>
        </is>
      </c>
      <c r="D532" s="4" t="n">
        <v>1996</v>
      </c>
      <c r="E532" s="4">
        <f>IF(D532="","",FLOOR(D532,10))</f>
        <v/>
      </c>
      <c r="F532" s="22" t="n">
        <v>111</v>
      </c>
      <c r="G532" s="23" t="n">
        <v>5.9</v>
      </c>
      <c r="H532" t="inlineStr">
        <is>
          <t>Wes Craven</t>
        </is>
      </c>
      <c r="I532" t="inlineStr">
        <is>
          <t>Estados Unidos</t>
        </is>
      </c>
      <c r="J532" t="inlineStr">
        <is>
          <t>Terror, Misterio</t>
        </is>
      </c>
      <c r="M532" s="6" t="n"/>
      <c r="O532" s="24" t="inlineStr"/>
      <c r="Q532" s="25" t="n">
        <v>6354586</v>
      </c>
      <c r="R532" s="25" t="n">
        <v>103046663</v>
      </c>
      <c r="S532" s="25" t="n"/>
      <c r="T532" s="25">
        <f>IF(AND(R532="",S532=""),"",N(R532)+N(S532))</f>
        <v/>
      </c>
      <c r="U532" s="25" t="n"/>
      <c r="V532" s="26" t="inlineStr">
        <is>
          <t>IMDb</t>
        </is>
      </c>
      <c r="W532" s="26" t="inlineStr">
        <is>
          <t>FilmAffinity</t>
        </is>
      </c>
      <c r="X532" s="26" t="inlineStr">
        <is>
          <t>Letterboxd</t>
        </is>
      </c>
    </row>
    <row r="533">
      <c r="A533" t="inlineStr">
        <is>
          <t>p0532</t>
        </is>
      </c>
      <c r="B533" t="inlineStr">
        <is>
          <t>Sospechosos Habituales</t>
        </is>
      </c>
      <c r="C533" t="inlineStr">
        <is>
          <t>The Usual Suspects</t>
        </is>
      </c>
      <c r="D533" s="4" t="n">
        <v>1995</v>
      </c>
      <c r="E533" s="4">
        <f>IF(D533="","",FLOOR(D533,10))</f>
        <v/>
      </c>
      <c r="F533" s="22" t="n">
        <v>105</v>
      </c>
      <c r="G533" s="23" t="n">
        <v>9.199999999999999</v>
      </c>
      <c r="H533" t="inlineStr">
        <is>
          <t>Bryan Singer</t>
        </is>
      </c>
      <c r="I533" t="inlineStr">
        <is>
          <t>Estados Unidos</t>
        </is>
      </c>
      <c r="J533" t="inlineStr">
        <is>
          <t>Thriller, Crimen, Misterio</t>
        </is>
      </c>
      <c r="M533" s="6" t="n"/>
      <c r="O533" s="24" t="inlineStr"/>
      <c r="Q533" s="25" t="n">
        <v>645363</v>
      </c>
      <c r="R533" s="25" t="n">
        <v>23341568</v>
      </c>
      <c r="S533" s="25" t="n"/>
      <c r="T533" s="25">
        <f>IF(AND(R533="",S533=""),"",N(R533)+N(S533))</f>
        <v/>
      </c>
      <c r="U533" s="25" t="n"/>
      <c r="V533" s="26" t="inlineStr">
        <is>
          <t>IMDb</t>
        </is>
      </c>
      <c r="W533" s="26" t="inlineStr">
        <is>
          <t>FilmAffinity</t>
        </is>
      </c>
      <c r="X533" s="26" t="inlineStr">
        <is>
          <t>Letterboxd</t>
        </is>
      </c>
    </row>
    <row r="534">
      <c r="A534" t="inlineStr">
        <is>
          <t>p0533</t>
        </is>
      </c>
      <c r="B534" t="inlineStr">
        <is>
          <t>Toy Story</t>
        </is>
      </c>
      <c r="C534" t="inlineStr">
        <is>
          <t>Toy Story</t>
        </is>
      </c>
      <c r="D534" s="4" t="n">
        <v>1995</v>
      </c>
      <c r="E534" s="4">
        <f>IF(D534="","",FLOOR(D534,10))</f>
        <v/>
      </c>
      <c r="F534" s="22" t="n">
        <v>80</v>
      </c>
      <c r="G534" s="23" t="n">
        <v>7.9</v>
      </c>
      <c r="H534" t="inlineStr">
        <is>
          <t>John Lasseter</t>
        </is>
      </c>
      <c r="I534" t="inlineStr">
        <is>
          <t>Estados Unidos</t>
        </is>
      </c>
      <c r="J534" t="inlineStr">
        <is>
          <t>Animación, Comedia, Familiar</t>
        </is>
      </c>
      <c r="K534" t="inlineStr">
        <is>
          <t>Toy Story</t>
        </is>
      </c>
      <c r="M534" s="6" t="n"/>
      <c r="O534" s="24" t="inlineStr"/>
      <c r="Q534" s="25" t="n"/>
      <c r="R534" s="25" t="n"/>
      <c r="S534" s="25" t="n"/>
      <c r="T534" s="25">
        <f>IF(AND(R534="",S534=""),"",N(R534)+N(S534))</f>
        <v/>
      </c>
      <c r="U534" s="25" t="n"/>
      <c r="V534" s="26" t="inlineStr">
        <is>
          <t>IMDb</t>
        </is>
      </c>
    </row>
    <row r="535">
      <c r="A535" t="inlineStr">
        <is>
          <t>p0534</t>
        </is>
      </c>
      <c r="B535" t="inlineStr">
        <is>
          <t>Seven</t>
        </is>
      </c>
      <c r="C535" t="inlineStr">
        <is>
          <t>Se7en</t>
        </is>
      </c>
      <c r="D535" s="4" t="n">
        <v>1995</v>
      </c>
      <c r="E535" s="4">
        <f>IF(D535="","",FLOOR(D535,10))</f>
        <v/>
      </c>
      <c r="F535" s="22" t="n">
        <v>127</v>
      </c>
      <c r="G535" s="23" t="n">
        <v>7.8</v>
      </c>
      <c r="H535" t="inlineStr">
        <is>
          <t>David Fincher</t>
        </is>
      </c>
      <c r="I535" t="inlineStr">
        <is>
          <t>Estados Unidos</t>
        </is>
      </c>
      <c r="J535" t="inlineStr">
        <is>
          <t>Thriller, Crimen, Misterio</t>
        </is>
      </c>
      <c r="M535" s="6" t="n"/>
      <c r="O535" s="24" t="inlineStr"/>
      <c r="Q535" s="25" t="n">
        <v>13949807</v>
      </c>
      <c r="R535" s="25" t="n">
        <v>101871174</v>
      </c>
      <c r="S535" s="25" t="n"/>
      <c r="T535" s="25">
        <f>IF(AND(R535="",S535=""),"",N(R535)+N(S535))</f>
        <v/>
      </c>
      <c r="U535" s="25" t="n"/>
      <c r="V535" s="26" t="inlineStr">
        <is>
          <t>IMDb</t>
        </is>
      </c>
      <c r="W535" s="26" t="inlineStr">
        <is>
          <t>FilmAffinity</t>
        </is>
      </c>
      <c r="X535" s="26" t="inlineStr">
        <is>
          <t>Letterboxd</t>
        </is>
      </c>
    </row>
    <row r="536">
      <c r="A536" t="inlineStr">
        <is>
          <t>p0535</t>
        </is>
      </c>
      <c r="B536" t="inlineStr">
        <is>
          <t>Desperado</t>
        </is>
      </c>
      <c r="C536" t="inlineStr">
        <is>
          <t>Desperado</t>
        </is>
      </c>
      <c r="D536" s="4" t="n">
        <v>1995</v>
      </c>
      <c r="E536" s="4">
        <f>IF(D536="","",FLOOR(D536,10))</f>
        <v/>
      </c>
      <c r="F536" s="22" t="n">
        <v>106</v>
      </c>
      <c r="G536" s="23" t="n">
        <v>7</v>
      </c>
      <c r="H536" t="inlineStr">
        <is>
          <t>Robert Rodríguez</t>
        </is>
      </c>
      <c r="I536" t="inlineStr">
        <is>
          <t>Estados Unidos</t>
        </is>
      </c>
      <c r="J536" t="inlineStr">
        <is>
          <t>Acción, Crimen</t>
        </is>
      </c>
      <c r="M536" s="6" t="n"/>
      <c r="O536" s="24" t="inlineStr"/>
      <c r="Q536" s="25" t="n">
        <v>7910446</v>
      </c>
      <c r="R536" s="25" t="n">
        <v>25405445</v>
      </c>
      <c r="S536" s="25" t="n"/>
      <c r="T536" s="25">
        <f>IF(AND(R536="",S536=""),"",N(R536)+N(S536))</f>
        <v/>
      </c>
      <c r="U536" s="25" t="n"/>
      <c r="V536" s="26" t="inlineStr">
        <is>
          <t>IMDb</t>
        </is>
      </c>
      <c r="W536" s="26" t="inlineStr">
        <is>
          <t>FilmAffinity</t>
        </is>
      </c>
      <c r="X536" s="26" t="inlineStr">
        <is>
          <t>Letterboxd</t>
        </is>
      </c>
    </row>
    <row r="537">
      <c r="A537" t="inlineStr">
        <is>
          <t>p0536</t>
        </is>
      </c>
      <c r="B537" t="inlineStr">
        <is>
          <t>Pulp Fiction</t>
        </is>
      </c>
      <c r="C537" t="inlineStr">
        <is>
          <t>Pulp Fiction</t>
        </is>
      </c>
      <c r="D537" s="4" t="n">
        <v>1994</v>
      </c>
      <c r="E537" s="4">
        <f>IF(D537="","",FLOOR(D537,10))</f>
        <v/>
      </c>
      <c r="F537" s="22" t="n">
        <v>153</v>
      </c>
      <c r="G537" s="23" t="n">
        <v>10</v>
      </c>
      <c r="H537" t="inlineStr">
        <is>
          <t>Quentin Tarantino</t>
        </is>
      </c>
      <c r="I537" t="inlineStr">
        <is>
          <t>Estados Unidos</t>
        </is>
      </c>
      <c r="J537" t="inlineStr">
        <is>
          <t>Crimen, Thriller, Comedia</t>
        </is>
      </c>
      <c r="M537" s="6" t="n"/>
      <c r="O537" s="24" t="inlineStr"/>
      <c r="Q537" s="25" t="n">
        <v>9311882</v>
      </c>
      <c r="R537" s="25" t="n">
        <v>107928762</v>
      </c>
      <c r="S537" s="25" t="n"/>
      <c r="T537" s="25">
        <f>IF(AND(R537="",S537=""),"",N(R537)+N(S537))</f>
        <v/>
      </c>
      <c r="U537" s="25" t="n"/>
      <c r="V537" s="26" t="inlineStr">
        <is>
          <t>IMDb</t>
        </is>
      </c>
      <c r="W537" s="26" t="inlineStr">
        <is>
          <t>FilmAffinity</t>
        </is>
      </c>
      <c r="X537" s="26" t="inlineStr">
        <is>
          <t>Letterboxd</t>
        </is>
      </c>
    </row>
    <row r="538">
      <c r="A538" t="inlineStr">
        <is>
          <t>p0537</t>
        </is>
      </c>
      <c r="B538" t="inlineStr">
        <is>
          <t>Cadena Perpetua</t>
        </is>
      </c>
      <c r="C538" t="inlineStr">
        <is>
          <t>The Shawshank Redemption</t>
        </is>
      </c>
      <c r="D538" s="4" t="n">
        <v>1994</v>
      </c>
      <c r="E538" s="4">
        <f>IF(D538="","",FLOOR(D538,10))</f>
        <v/>
      </c>
      <c r="F538" s="22" t="n">
        <v>142</v>
      </c>
      <c r="G538" s="23" t="n">
        <v>9.699999999999999</v>
      </c>
      <c r="H538" t="inlineStr">
        <is>
          <t>Frank Darabont</t>
        </is>
      </c>
      <c r="I538" t="inlineStr">
        <is>
          <t>Estados Unidos</t>
        </is>
      </c>
      <c r="J538" t="inlineStr">
        <is>
          <t>Drama, Crimen</t>
        </is>
      </c>
      <c r="M538" s="6" t="n"/>
      <c r="O538" s="24" t="inlineStr"/>
      <c r="Q538" s="25" t="n">
        <v>727327</v>
      </c>
      <c r="R538" s="25" t="n">
        <v>28767189</v>
      </c>
      <c r="S538" s="25" t="n"/>
      <c r="T538" s="25">
        <f>IF(AND(R538="",S538=""),"",N(R538)+N(S538))</f>
        <v/>
      </c>
      <c r="U538" s="25" t="n"/>
      <c r="V538" s="26" t="inlineStr">
        <is>
          <t>IMDb</t>
        </is>
      </c>
      <c r="W538" s="26" t="inlineStr">
        <is>
          <t>FilmAffinity</t>
        </is>
      </c>
      <c r="X538" s="26" t="inlineStr">
        <is>
          <t>Letterboxd</t>
        </is>
      </c>
    </row>
    <row r="539">
      <c r="A539" t="inlineStr">
        <is>
          <t>p0538</t>
        </is>
      </c>
      <c r="B539" t="inlineStr">
        <is>
          <t>Forrest Gump</t>
        </is>
      </c>
      <c r="C539" t="inlineStr">
        <is>
          <t>Forrest Gump</t>
        </is>
      </c>
      <c r="D539" s="4" t="n">
        <v>1994</v>
      </c>
      <c r="E539" s="4">
        <f>IF(D539="","",FLOOR(D539,10))</f>
        <v/>
      </c>
      <c r="F539" s="22" t="n">
        <v>142</v>
      </c>
      <c r="G539" s="23" t="n">
        <v>9.5</v>
      </c>
      <c r="H539" t="inlineStr">
        <is>
          <t>Robert Zemeckis</t>
        </is>
      </c>
      <c r="I539" t="inlineStr">
        <is>
          <t>Estados Unidos</t>
        </is>
      </c>
      <c r="J539" t="inlineStr">
        <is>
          <t>Drama, Comedia, Romance</t>
        </is>
      </c>
      <c r="M539" s="6" t="n"/>
      <c r="O539" s="24" t="inlineStr"/>
      <c r="Q539" s="25" t="n">
        <v>24450602</v>
      </c>
      <c r="R539" s="25" t="n">
        <v>330455270</v>
      </c>
      <c r="S539" s="25" t="n"/>
      <c r="T539" s="25">
        <f>IF(AND(R539="",S539=""),"",N(R539)+N(S539))</f>
        <v/>
      </c>
      <c r="U539" s="25" t="n"/>
      <c r="V539" s="26" t="inlineStr">
        <is>
          <t>IMDb</t>
        </is>
      </c>
      <c r="W539" s="26" t="inlineStr">
        <is>
          <t>FilmAffinity</t>
        </is>
      </c>
      <c r="X539" s="26" t="inlineStr">
        <is>
          <t>Letterboxd</t>
        </is>
      </c>
    </row>
    <row r="540">
      <c r="A540" t="inlineStr">
        <is>
          <t>p0539</t>
        </is>
      </c>
      <c r="B540" t="inlineStr">
        <is>
          <t>El rey león</t>
        </is>
      </c>
      <c r="C540" t="inlineStr">
        <is>
          <t>The Lion King</t>
        </is>
      </c>
      <c r="D540" s="4" t="n">
        <v>1994</v>
      </c>
      <c r="E540" s="4">
        <f>IF(D540="","",FLOOR(D540,10))</f>
        <v/>
      </c>
      <c r="F540" s="22" t="n">
        <v>85</v>
      </c>
      <c r="G540" s="23" t="n">
        <v>7.9</v>
      </c>
      <c r="H540" t="inlineStr">
        <is>
          <t>Rob Minkoff / Roger Allers</t>
        </is>
      </c>
      <c r="I540" t="inlineStr">
        <is>
          <t>Estados Unidos</t>
        </is>
      </c>
      <c r="J540" t="inlineStr">
        <is>
          <t>Animación, Musical, Familiar</t>
        </is>
      </c>
      <c r="M540" s="6" t="n"/>
      <c r="O540" s="24" t="inlineStr"/>
      <c r="Q540" s="25" t="n"/>
      <c r="R540" s="25" t="n"/>
      <c r="S540" s="25" t="n"/>
      <c r="T540" s="25">
        <f>IF(AND(R540="",S540=""),"",N(R540)+N(S540))</f>
        <v/>
      </c>
      <c r="U540" s="25" t="n"/>
      <c r="V540" s="26" t="inlineStr">
        <is>
          <t>IMDb</t>
        </is>
      </c>
      <c r="W540" s="26" t="inlineStr">
        <is>
          <t>FilmAffinity</t>
        </is>
      </c>
      <c r="X540" s="26" t="inlineStr">
        <is>
          <t>Letterboxd</t>
        </is>
      </c>
    </row>
    <row r="541">
      <c r="A541" t="inlineStr">
        <is>
          <t>p0540</t>
        </is>
      </c>
      <c r="B541" t="inlineStr">
        <is>
          <t>La máscara</t>
        </is>
      </c>
      <c r="C541" t="inlineStr">
        <is>
          <t>The Mask</t>
        </is>
      </c>
      <c r="D541" s="4" t="n">
        <v>1994</v>
      </c>
      <c r="E541" s="4">
        <f>IF(D541="","",FLOOR(D541,10))</f>
        <v/>
      </c>
      <c r="F541" s="22" t="n">
        <v>101</v>
      </c>
      <c r="G541" s="23" t="n">
        <v>6.2</v>
      </c>
      <c r="H541" t="inlineStr">
        <is>
          <t>Chuck Russell</t>
        </is>
      </c>
      <c r="I541" t="inlineStr">
        <is>
          <t>Estados Unidos</t>
        </is>
      </c>
      <c r="J541" t="inlineStr">
        <is>
          <t>Comedia, Fantasía</t>
        </is>
      </c>
      <c r="M541" s="6" t="n"/>
      <c r="O541" s="24" t="inlineStr"/>
      <c r="Q541" s="25" t="n">
        <v>23117068</v>
      </c>
      <c r="R541" s="25" t="n">
        <v>119938730</v>
      </c>
      <c r="S541" s="25" t="n"/>
      <c r="T541" s="25">
        <f>IF(AND(R541="",S541=""),"",N(R541)+N(S541))</f>
        <v/>
      </c>
      <c r="U541" s="25" t="n"/>
      <c r="V541" s="26" t="inlineStr">
        <is>
          <t>IMDb</t>
        </is>
      </c>
      <c r="W541" s="26" t="inlineStr">
        <is>
          <t>FilmAffinity</t>
        </is>
      </c>
      <c r="X541" s="26" t="inlineStr">
        <is>
          <t>Letterboxd</t>
        </is>
      </c>
    </row>
    <row r="542">
      <c r="A542" t="inlineStr">
        <is>
          <t>p0541</t>
        </is>
      </c>
      <c r="B542" t="inlineStr">
        <is>
          <t>Dos Tontos Muy Tontos</t>
        </is>
      </c>
      <c r="C542" t="inlineStr">
        <is>
          <t>Dumb and Dumber</t>
        </is>
      </c>
      <c r="D542" s="4" t="n">
        <v>1994</v>
      </c>
      <c r="E542" s="4">
        <f>IF(D542="","",FLOOR(D542,10))</f>
        <v/>
      </c>
      <c r="F542" s="22" t="n">
        <v>106</v>
      </c>
      <c r="G542" s="23" t="n">
        <v>5.4</v>
      </c>
      <c r="H542" t="inlineStr">
        <is>
          <t>Peter Farrelly / Bobby Farrelly</t>
        </is>
      </c>
      <c r="I542" t="inlineStr">
        <is>
          <t>Estados Unidos</t>
        </is>
      </c>
      <c r="J542" t="inlineStr">
        <is>
          <t>Comedia</t>
        </is>
      </c>
      <c r="K542" t="inlineStr">
        <is>
          <t>Dos tontos muy tontos</t>
        </is>
      </c>
      <c r="M542" s="6" t="n"/>
      <c r="O542" s="24" t="inlineStr"/>
      <c r="Q542" s="25" t="n">
        <v>16363442</v>
      </c>
      <c r="R542" s="25" t="n">
        <v>127190327</v>
      </c>
      <c r="S542" s="25" t="n"/>
      <c r="T542" s="25">
        <f>IF(AND(R542="",S542=""),"",N(R542)+N(S542))</f>
        <v/>
      </c>
      <c r="U542" s="25" t="n"/>
      <c r="V542" s="26" t="inlineStr">
        <is>
          <t>IMDb</t>
        </is>
      </c>
      <c r="W542" s="26" t="inlineStr">
        <is>
          <t>FilmAffinity</t>
        </is>
      </c>
      <c r="X542" s="26" t="inlineStr">
        <is>
          <t>Letterboxd</t>
        </is>
      </c>
    </row>
    <row r="543">
      <c r="A543" t="inlineStr">
        <is>
          <t>p0542</t>
        </is>
      </c>
      <c r="B543" t="inlineStr">
        <is>
          <t>Niño Rico</t>
        </is>
      </c>
      <c r="C543" t="inlineStr">
        <is>
          <t>Richie Rich</t>
        </is>
      </c>
      <c r="D543" s="4" t="n">
        <v>1994</v>
      </c>
      <c r="E543" s="4">
        <f>IF(D543="","",FLOOR(D543,10))</f>
        <v/>
      </c>
      <c r="F543" s="22" t="n">
        <v>94</v>
      </c>
      <c r="G543" s="23" t="n">
        <v>5.3</v>
      </c>
      <c r="H543" t="inlineStr">
        <is>
          <t>Donald Petrie</t>
        </is>
      </c>
      <c r="I543" t="inlineStr">
        <is>
          <t>Estados Unidos</t>
        </is>
      </c>
      <c r="J543" t="inlineStr">
        <is>
          <t>Comedia, Familiar</t>
        </is>
      </c>
      <c r="M543" s="6" t="n"/>
      <c r="O543" s="24" t="inlineStr"/>
      <c r="Q543" s="25" t="n"/>
      <c r="R543" s="25" t="n"/>
      <c r="S543" s="25" t="n"/>
      <c r="T543" s="25">
        <f>IF(AND(R543="",S543=""),"",N(R543)+N(S543))</f>
        <v/>
      </c>
      <c r="U543" s="25" t="n"/>
      <c r="V543" s="26" t="inlineStr">
        <is>
          <t>IMDb</t>
        </is>
      </c>
      <c r="W543" s="26" t="inlineStr">
        <is>
          <t>FilmAffinity</t>
        </is>
      </c>
      <c r="X543" s="26" t="inlineStr">
        <is>
          <t>Letterboxd</t>
        </is>
      </c>
    </row>
    <row r="544">
      <c r="A544" t="inlineStr">
        <is>
          <t>p0543</t>
        </is>
      </c>
      <c r="B544" t="inlineStr">
        <is>
          <t>La lista de Schindler</t>
        </is>
      </c>
      <c r="C544" t="inlineStr">
        <is>
          <t>Schindler's List</t>
        </is>
      </c>
      <c r="D544" s="4" t="n">
        <v>1993</v>
      </c>
      <c r="E544" s="4">
        <f>IF(D544="","",FLOOR(D544,10))</f>
        <v/>
      </c>
      <c r="F544" s="22" t="n">
        <v>195</v>
      </c>
      <c r="G544" s="23" t="n">
        <v>9.300000000000001</v>
      </c>
      <c r="H544" t="inlineStr">
        <is>
          <t>Steven Spielberg</t>
        </is>
      </c>
      <c r="I544" t="inlineStr">
        <is>
          <t>Estados Unidos</t>
        </is>
      </c>
      <c r="J544" t="inlineStr">
        <is>
          <t>Drama, Histórico, Bélico</t>
        </is>
      </c>
      <c r="M544" s="6" t="n"/>
      <c r="O544" s="24" t="inlineStr"/>
      <c r="Q544" s="25" t="n">
        <v>656636</v>
      </c>
      <c r="R544" s="25" t="n">
        <v>96898818</v>
      </c>
      <c r="S544" s="25" t="n"/>
      <c r="T544" s="25">
        <f>IF(AND(R544="",S544=""),"",N(R544)+N(S544))</f>
        <v/>
      </c>
      <c r="U544" s="25" t="n"/>
      <c r="V544" s="26" t="inlineStr">
        <is>
          <t>IMDb</t>
        </is>
      </c>
      <c r="W544" s="26" t="inlineStr">
        <is>
          <t>FilmAffinity</t>
        </is>
      </c>
      <c r="X544" s="26" t="inlineStr">
        <is>
          <t>Letterboxd</t>
        </is>
      </c>
    </row>
    <row r="545">
      <c r="A545" t="inlineStr">
        <is>
          <t>p0544</t>
        </is>
      </c>
      <c r="B545" t="inlineStr">
        <is>
          <t>Jurassic Park</t>
        </is>
      </c>
      <c r="C545" t="inlineStr">
        <is>
          <t>Jurassic Park</t>
        </is>
      </c>
      <c r="D545" s="4" t="n">
        <v>1993</v>
      </c>
      <c r="E545" s="4">
        <f>IF(D545="","",FLOOR(D545,10))</f>
        <v/>
      </c>
      <c r="F545" s="22" t="n">
        <v>121</v>
      </c>
      <c r="G545" s="23" t="n">
        <v>7.8</v>
      </c>
      <c r="H545" t="inlineStr">
        <is>
          <t>Steven Spielberg</t>
        </is>
      </c>
      <c r="I545" t="inlineStr">
        <is>
          <t>Estados Unidos</t>
        </is>
      </c>
      <c r="J545" t="inlineStr">
        <is>
          <t>Aventura, Ciencia ficción, Acción</t>
        </is>
      </c>
      <c r="K545" t="inlineStr">
        <is>
          <t>Jurassic Park</t>
        </is>
      </c>
      <c r="M545" s="6" t="n"/>
      <c r="O545" s="24" t="inlineStr"/>
      <c r="Q545" s="25" t="n">
        <v>47026828</v>
      </c>
      <c r="R545" s="25" t="n">
        <v>407185075</v>
      </c>
      <c r="S545" s="25" t="n"/>
      <c r="T545" s="25">
        <f>IF(AND(R545="",S545=""),"",N(R545)+N(S545))</f>
        <v/>
      </c>
      <c r="U545" s="25" t="n"/>
      <c r="V545" s="26" t="inlineStr">
        <is>
          <t>IMDb</t>
        </is>
      </c>
      <c r="W545" s="26" t="inlineStr">
        <is>
          <t>FilmAffinity</t>
        </is>
      </c>
      <c r="X545" s="26" t="inlineStr">
        <is>
          <t>Letterboxd</t>
        </is>
      </c>
    </row>
    <row r="546">
      <c r="A546" t="inlineStr">
        <is>
          <t>p0545</t>
        </is>
      </c>
      <c r="B546" t="inlineStr">
        <is>
          <t>Pesadilla Antes de Navidad</t>
        </is>
      </c>
      <c r="C546" t="inlineStr">
        <is>
          <t>The Nightmare Before Christmas</t>
        </is>
      </c>
      <c r="D546" s="4" t="n">
        <v>1993</v>
      </c>
      <c r="E546" s="4">
        <f>IF(D546="","",FLOOR(D546,10))</f>
        <v/>
      </c>
      <c r="F546" s="22" t="n">
        <v>75</v>
      </c>
      <c r="G546" s="23" t="n">
        <v>7.6</v>
      </c>
      <c r="H546" t="inlineStr">
        <is>
          <t>Henry Selick</t>
        </is>
      </c>
      <c r="I546" t="inlineStr">
        <is>
          <t>Estados Unidos</t>
        </is>
      </c>
      <c r="J546" t="inlineStr">
        <is>
          <t>Animación, Musical, Fantasía</t>
        </is>
      </c>
      <c r="M546" s="6" t="n"/>
      <c r="O546" s="24" t="inlineStr"/>
      <c r="Q546" s="25" t="n"/>
      <c r="R546" s="25" t="n"/>
      <c r="S546" s="25" t="n"/>
      <c r="T546" s="25">
        <f>IF(AND(R546="",S546=""),"",N(R546)+N(S546))</f>
        <v/>
      </c>
      <c r="U546" s="25" t="n"/>
      <c r="V546" s="26" t="inlineStr">
        <is>
          <t>IMDb</t>
        </is>
      </c>
      <c r="W546" s="26" t="inlineStr">
        <is>
          <t>FilmAffinity</t>
        </is>
      </c>
      <c r="X546" s="26" t="inlineStr">
        <is>
          <t>Letterboxd</t>
        </is>
      </c>
    </row>
    <row r="547">
      <c r="A547" t="inlineStr">
        <is>
          <t>p0546</t>
        </is>
      </c>
      <c r="B547" t="inlineStr">
        <is>
          <t>Doraemon y el Secreto del Laberinto</t>
        </is>
      </c>
      <c r="C547" t="inlineStr">
        <is>
          <t>Doraemon: Nobita and the Tin Labyrinth</t>
        </is>
      </c>
      <c r="D547" s="4" t="n">
        <v>1993</v>
      </c>
      <c r="E547" s="4">
        <f>IF(D547="","",FLOOR(D547,10))</f>
        <v/>
      </c>
      <c r="F547" s="22" t="n">
        <v>97</v>
      </c>
      <c r="G547" s="23" t="n">
        <v>6.8</v>
      </c>
      <c r="H547" t="inlineStr">
        <is>
          <t>Tsutomu Shibayama</t>
        </is>
      </c>
      <c r="I547" t="inlineStr">
        <is>
          <t>Japón</t>
        </is>
      </c>
      <c r="J547" t="inlineStr">
        <is>
          <t>Animación, Aventura, Familiar</t>
        </is>
      </c>
      <c r="K547" t="inlineStr">
        <is>
          <t>Doraemon</t>
        </is>
      </c>
      <c r="M547" s="6" t="n"/>
      <c r="O547" s="24" t="inlineStr"/>
      <c r="Q547" s="25" t="n"/>
      <c r="R547" s="25" t="n"/>
      <c r="S547" s="25" t="n"/>
      <c r="T547" s="25">
        <f>IF(AND(R547="",S547=""),"",N(R547)+N(S547))</f>
        <v/>
      </c>
      <c r="U547" s="25" t="n"/>
      <c r="V547" s="26" t="inlineStr">
        <is>
          <t>IMDb</t>
        </is>
      </c>
      <c r="W547" s="26" t="inlineStr">
        <is>
          <t>FilmAffinity</t>
        </is>
      </c>
      <c r="X547" s="26" t="inlineStr">
        <is>
          <t>Letterboxd</t>
        </is>
      </c>
    </row>
    <row r="548">
      <c r="A548" t="inlineStr">
        <is>
          <t>p0547</t>
        </is>
      </c>
      <c r="B548" t="inlineStr">
        <is>
          <t>Kika</t>
        </is>
      </c>
      <c r="C548" t="inlineStr">
        <is>
          <t>Kika</t>
        </is>
      </c>
      <c r="D548" s="4" t="n">
        <v>1993</v>
      </c>
      <c r="E548" s="4">
        <f>IF(D548="","",FLOOR(D548,10))</f>
        <v/>
      </c>
      <c r="F548" s="22" t="n">
        <v>114</v>
      </c>
      <c r="G548" s="23" t="n">
        <v>5.1</v>
      </c>
      <c r="H548" t="inlineStr">
        <is>
          <t>Pedro Almodóvar</t>
        </is>
      </c>
      <c r="I548" t="inlineStr">
        <is>
          <t>España</t>
        </is>
      </c>
      <c r="J548" t="inlineStr">
        <is>
          <t>Comedia, Drama</t>
        </is>
      </c>
      <c r="M548" s="6" t="n"/>
      <c r="O548" s="24" t="inlineStr"/>
      <c r="Q548" s="25" t="n"/>
      <c r="R548" s="25" t="n"/>
      <c r="S548" s="25" t="n"/>
      <c r="T548" s="25">
        <f>IF(AND(R548="",S548=""),"",N(R548)+N(S548))</f>
        <v/>
      </c>
      <c r="U548" s="25" t="n"/>
      <c r="V548" s="26" t="inlineStr">
        <is>
          <t>IMDb</t>
        </is>
      </c>
      <c r="W548" s="26" t="inlineStr">
        <is>
          <t>FilmAffinity</t>
        </is>
      </c>
      <c r="X548" s="26" t="inlineStr">
        <is>
          <t>Letterboxd</t>
        </is>
      </c>
    </row>
    <row r="549">
      <c r="A549" t="inlineStr">
        <is>
          <t>p0548</t>
        </is>
      </c>
      <c r="B549" t="inlineStr">
        <is>
          <t>Reservoir Dogs</t>
        </is>
      </c>
      <c r="C549" t="inlineStr">
        <is>
          <t>Reservoir Dogs</t>
        </is>
      </c>
      <c r="D549" s="4" t="n">
        <v>1992</v>
      </c>
      <c r="E549" s="4">
        <f>IF(D549="","",FLOOR(D549,10))</f>
        <v/>
      </c>
      <c r="F549" s="22" t="n">
        <v>99</v>
      </c>
      <c r="G549" s="23" t="n">
        <v>8.300000000000001</v>
      </c>
      <c r="H549" t="inlineStr">
        <is>
          <t>Quentin Tarantino</t>
        </is>
      </c>
      <c r="I549" t="inlineStr">
        <is>
          <t>Estados Unidos</t>
        </is>
      </c>
      <c r="J549" t="inlineStr">
        <is>
          <t>Crimen, Thriller</t>
        </is>
      </c>
      <c r="M549" s="6" t="n"/>
      <c r="O549" s="24" t="inlineStr"/>
      <c r="Q549" s="25" t="n">
        <v>147839</v>
      </c>
      <c r="R549" s="25" t="n">
        <v>2832029</v>
      </c>
      <c r="S549" s="25" t="n"/>
      <c r="T549" s="25">
        <f>IF(AND(R549="",S549=""),"",N(R549)+N(S549))</f>
        <v/>
      </c>
      <c r="U549" s="25" t="n"/>
      <c r="V549" s="26" t="inlineStr">
        <is>
          <t>IMDb</t>
        </is>
      </c>
      <c r="W549" s="26" t="inlineStr">
        <is>
          <t>FilmAffinity</t>
        </is>
      </c>
      <c r="X549" s="26" t="inlineStr">
        <is>
          <t>Letterboxd</t>
        </is>
      </c>
    </row>
    <row r="550">
      <c r="A550" t="inlineStr">
        <is>
          <t>p0549</t>
        </is>
      </c>
      <c r="B550" t="inlineStr">
        <is>
          <t>Malcolm X</t>
        </is>
      </c>
      <c r="C550" t="inlineStr">
        <is>
          <t>Malcolm X</t>
        </is>
      </c>
      <c r="D550" s="4" t="n">
        <v>1992</v>
      </c>
      <c r="E550" s="4">
        <f>IF(D550="","",FLOOR(D550,10))</f>
        <v/>
      </c>
      <c r="F550" s="22" t="n">
        <v>193</v>
      </c>
      <c r="G550" s="23" t="n">
        <v>7.7</v>
      </c>
      <c r="H550" t="inlineStr">
        <is>
          <t>Spike Lee</t>
        </is>
      </c>
      <c r="I550" t="inlineStr">
        <is>
          <t>Estados Unidos</t>
        </is>
      </c>
      <c r="J550" t="inlineStr">
        <is>
          <t>Biográfico, Drama, Histórico</t>
        </is>
      </c>
      <c r="M550" s="6" t="n"/>
      <c r="O550" s="24" t="inlineStr"/>
      <c r="Q550" s="25" t="n"/>
      <c r="R550" s="25" t="n"/>
      <c r="S550" s="25" t="n"/>
      <c r="T550" s="25">
        <f>IF(AND(R550="",S550=""),"",N(R550)+N(S550))</f>
        <v/>
      </c>
      <c r="U550" s="25" t="n"/>
      <c r="V550" s="26" t="inlineStr">
        <is>
          <t>IMDb</t>
        </is>
      </c>
      <c r="W550" s="26" t="inlineStr">
        <is>
          <t>FilmAffinity</t>
        </is>
      </c>
      <c r="X550" s="26" t="inlineStr">
        <is>
          <t>Letterboxd</t>
        </is>
      </c>
    </row>
    <row r="551">
      <c r="A551" t="inlineStr">
        <is>
          <t>p0550</t>
        </is>
      </c>
      <c r="B551" t="inlineStr">
        <is>
          <t>Aladdín</t>
        </is>
      </c>
      <c r="C551" t="inlineStr">
        <is>
          <t>Aladdin</t>
        </is>
      </c>
      <c r="D551" s="4" t="n">
        <v>1992</v>
      </c>
      <c r="E551" s="4">
        <f>IF(D551="","",FLOOR(D551,10))</f>
        <v/>
      </c>
      <c r="F551" s="22" t="n">
        <v>87</v>
      </c>
      <c r="G551" s="23" t="n">
        <v>7.2</v>
      </c>
      <c r="H551" t="inlineStr">
        <is>
          <t>John Musker / Ron Clements</t>
        </is>
      </c>
      <c r="I551" t="inlineStr">
        <is>
          <t>Estados Unidos</t>
        </is>
      </c>
      <c r="J551" t="inlineStr">
        <is>
          <t>Animación, Musical, Aventura</t>
        </is>
      </c>
      <c r="M551" s="6" t="n"/>
      <c r="O551" s="24" t="inlineStr"/>
      <c r="Q551" s="25" t="n"/>
      <c r="R551" s="25" t="n"/>
      <c r="S551" s="25" t="n"/>
      <c r="T551" s="25">
        <f>IF(AND(R551="",S551=""),"",N(R551)+N(S551))</f>
        <v/>
      </c>
      <c r="U551" s="25" t="n"/>
      <c r="V551" s="26" t="inlineStr">
        <is>
          <t>IMDb</t>
        </is>
      </c>
      <c r="W551" s="26" t="inlineStr">
        <is>
          <t>FilmAffinity</t>
        </is>
      </c>
      <c r="X551" s="26" t="inlineStr">
        <is>
          <t>Letterboxd</t>
        </is>
      </c>
    </row>
    <row r="552">
      <c r="A552" t="inlineStr">
        <is>
          <t>p0551</t>
        </is>
      </c>
      <c r="B552" t="inlineStr">
        <is>
          <t>El guardaespaldas</t>
        </is>
      </c>
      <c r="C552" t="inlineStr">
        <is>
          <t>The Bodyguard</t>
        </is>
      </c>
      <c r="D552" s="4" t="n">
        <v>1992</v>
      </c>
      <c r="E552" s="4">
        <f>IF(D552="","",FLOOR(D552,10))</f>
        <v/>
      </c>
      <c r="F552" s="22" t="n">
        <v>129</v>
      </c>
      <c r="G552" s="23" t="n">
        <v>6.3</v>
      </c>
      <c r="H552" t="inlineStr">
        <is>
          <t>Mick Jackson</t>
        </is>
      </c>
      <c r="I552" t="inlineStr">
        <is>
          <t>Estados Unidos</t>
        </is>
      </c>
      <c r="J552" t="inlineStr">
        <is>
          <t>Romance, Thriller, Musical</t>
        </is>
      </c>
      <c r="M552" s="6" t="n"/>
      <c r="O552" s="24" t="inlineStr"/>
      <c r="Q552" s="25" t="n">
        <v>16611793</v>
      </c>
      <c r="R552" s="25" t="n">
        <v>122046449</v>
      </c>
      <c r="S552" s="25" t="n"/>
      <c r="T552" s="25">
        <f>IF(AND(R552="",S552=""),"",N(R552)+N(S552))</f>
        <v/>
      </c>
      <c r="U552" s="25" t="n"/>
      <c r="V552" s="26" t="inlineStr">
        <is>
          <t>IMDb</t>
        </is>
      </c>
      <c r="W552" s="26" t="inlineStr">
        <is>
          <t>FilmAffinity</t>
        </is>
      </c>
      <c r="X552" s="26" t="inlineStr">
        <is>
          <t>Letterboxd</t>
        </is>
      </c>
    </row>
    <row r="553">
      <c r="A553" t="inlineStr">
        <is>
          <t>p0552</t>
        </is>
      </c>
      <c r="B553" t="inlineStr">
        <is>
          <t>El Silencio de los Corderos</t>
        </is>
      </c>
      <c r="C553" t="inlineStr">
        <is>
          <t>The Silence of the Lambs</t>
        </is>
      </c>
      <c r="D553" s="4" t="n">
        <v>1991</v>
      </c>
      <c r="E553" s="4">
        <f>IF(D553="","",FLOOR(D553,10))</f>
        <v/>
      </c>
      <c r="F553" s="22" t="n">
        <v>115</v>
      </c>
      <c r="G553" s="23" t="n">
        <v>8</v>
      </c>
      <c r="H553" t="inlineStr">
        <is>
          <t>Jonathan Demme</t>
        </is>
      </c>
      <c r="I553" t="inlineStr">
        <is>
          <t>Estados Unidos</t>
        </is>
      </c>
      <c r="J553" t="inlineStr">
        <is>
          <t>Thriller, Crimen, Terror</t>
        </is>
      </c>
      <c r="M553" s="6" t="n"/>
      <c r="O553" s="24" t="inlineStr"/>
      <c r="Q553" s="25" t="n">
        <v>13766814</v>
      </c>
      <c r="R553" s="25" t="n">
        <v>131138318</v>
      </c>
      <c r="S553" s="25" t="n"/>
      <c r="T553" s="25">
        <f>IF(AND(R553="",S553=""),"",N(R553)+N(S553))</f>
        <v/>
      </c>
      <c r="U553" s="25" t="n"/>
      <c r="V553" s="26" t="inlineStr">
        <is>
          <t>IMDb</t>
        </is>
      </c>
      <c r="W553" s="26" t="inlineStr">
        <is>
          <t>FilmAffinity</t>
        </is>
      </c>
      <c r="X553" s="26" t="inlineStr">
        <is>
          <t>Letterboxd</t>
        </is>
      </c>
    </row>
    <row r="554">
      <c r="A554" t="inlineStr">
        <is>
          <t>p0553</t>
        </is>
      </c>
      <c r="B554" t="inlineStr">
        <is>
          <t>La bella y la bestia</t>
        </is>
      </c>
      <c r="C554" t="inlineStr">
        <is>
          <t>Beauty and the Beast</t>
        </is>
      </c>
      <c r="D554" s="4" t="n">
        <v>1991</v>
      </c>
      <c r="E554" s="4">
        <f>IF(D554="","",FLOOR(D554,10))</f>
        <v/>
      </c>
      <c r="F554" s="22" t="n">
        <v>85</v>
      </c>
      <c r="G554" s="23" t="n">
        <v>7.8</v>
      </c>
      <c r="H554" t="inlineStr">
        <is>
          <t>Gary Trousdale / Kirk Wise</t>
        </is>
      </c>
      <c r="I554" t="inlineStr">
        <is>
          <t>Estados Unidos</t>
        </is>
      </c>
      <c r="J554" t="inlineStr">
        <is>
          <t>Animación, Musical, Romance</t>
        </is>
      </c>
      <c r="M554" s="6" t="n"/>
      <c r="O554" s="24" t="inlineStr"/>
      <c r="Q554" s="25" t="n"/>
      <c r="R554" s="25" t="n"/>
      <c r="S554" s="25" t="n"/>
      <c r="T554" s="25">
        <f>IF(AND(R554="",S554=""),"",N(R554)+N(S554))</f>
        <v/>
      </c>
      <c r="U554" s="25" t="n"/>
      <c r="V554" s="26" t="inlineStr">
        <is>
          <t>IMDb</t>
        </is>
      </c>
      <c r="W554" s="26" t="inlineStr">
        <is>
          <t>FilmAffinity</t>
        </is>
      </c>
      <c r="X554" s="26" t="inlineStr">
        <is>
          <t>Letterboxd</t>
        </is>
      </c>
    </row>
    <row r="555">
      <c r="A555" t="inlineStr">
        <is>
          <t>p0554</t>
        </is>
      </c>
      <c r="B555" t="inlineStr">
        <is>
          <t>Doraemon y las mil y una aventuras</t>
        </is>
      </c>
      <c r="C555" t="inlineStr">
        <is>
          <t>Doraemon: Nobita and the Kingdom of Clouds</t>
        </is>
      </c>
      <c r="D555" s="4" t="n">
        <v>1991</v>
      </c>
      <c r="E555" s="4">
        <f>IF(D555="","",FLOOR(D555,10))</f>
        <v/>
      </c>
      <c r="F555" s="22" t="n">
        <v>100</v>
      </c>
      <c r="G555" s="23" t="n">
        <v>5.7</v>
      </c>
      <c r="H555" t="inlineStr">
        <is>
          <t>Tsutomu Shibayama</t>
        </is>
      </c>
      <c r="I555" t="inlineStr">
        <is>
          <t>Japón</t>
        </is>
      </c>
      <c r="J555" t="inlineStr">
        <is>
          <t>Animación, Aventura, Familiar</t>
        </is>
      </c>
      <c r="K555" t="inlineStr">
        <is>
          <t>Doraemon</t>
        </is>
      </c>
      <c r="M555" s="6" t="n"/>
      <c r="O555" s="24" t="inlineStr"/>
      <c r="Q555" s="25" t="n"/>
      <c r="R555" s="25" t="n"/>
      <c r="S555" s="25" t="n"/>
      <c r="T555" s="25">
        <f>IF(AND(R555="",S555=""),"",N(R555)+N(S555))</f>
        <v/>
      </c>
      <c r="U555" s="25" t="n"/>
      <c r="V555" s="26" t="inlineStr">
        <is>
          <t>IMDb</t>
        </is>
      </c>
      <c r="W555" s="26" t="inlineStr">
        <is>
          <t>FilmAffinity</t>
        </is>
      </c>
      <c r="X555" s="26" t="inlineStr">
        <is>
          <t>Letterboxd</t>
        </is>
      </c>
    </row>
    <row r="556">
      <c r="A556" t="inlineStr">
        <is>
          <t>p0555</t>
        </is>
      </c>
      <c r="B556" t="inlineStr">
        <is>
          <t>El Padrino Parte III</t>
        </is>
      </c>
      <c r="C556" t="inlineStr">
        <is>
          <t>The Godfather Part III</t>
        </is>
      </c>
      <c r="D556" s="4" t="n">
        <v>1990</v>
      </c>
      <c r="E556" s="4">
        <f>IF(D556="","",FLOOR(D556,10))</f>
        <v/>
      </c>
      <c r="F556" s="22" t="n">
        <v>163</v>
      </c>
      <c r="G556" s="23" t="n">
        <v>8.9</v>
      </c>
      <c r="H556" t="inlineStr">
        <is>
          <t>Francis Ford Coppola</t>
        </is>
      </c>
      <c r="I556" t="inlineStr">
        <is>
          <t>Estados Unidos</t>
        </is>
      </c>
      <c r="J556" t="inlineStr">
        <is>
          <t>Crimen, Drama</t>
        </is>
      </c>
      <c r="K556" t="inlineStr">
        <is>
          <t>El Padrino</t>
        </is>
      </c>
      <c r="M556" s="6" t="n"/>
      <c r="O556" s="24" t="inlineStr"/>
      <c r="Q556" s="25" t="n">
        <v>6387271</v>
      </c>
      <c r="R556" s="25" t="n">
        <v>66761392</v>
      </c>
      <c r="S556" s="25" t="n"/>
      <c r="T556" s="25">
        <f>IF(AND(R556="",S556=""),"",N(R556)+N(S556))</f>
        <v/>
      </c>
      <c r="U556" s="25" t="n"/>
      <c r="V556" s="26" t="inlineStr">
        <is>
          <t>IMDb</t>
        </is>
      </c>
      <c r="W556" s="26" t="inlineStr">
        <is>
          <t>FilmAffinity</t>
        </is>
      </c>
      <c r="X556" s="26" t="inlineStr">
        <is>
          <t>Letterboxd</t>
        </is>
      </c>
    </row>
    <row r="557">
      <c r="A557" t="inlineStr">
        <is>
          <t>p0556</t>
        </is>
      </c>
      <c r="B557" t="inlineStr">
        <is>
          <t>Goodfellas</t>
        </is>
      </c>
      <c r="C557" t="inlineStr">
        <is>
          <t>Goodfellas</t>
        </is>
      </c>
      <c r="D557" s="4" t="n">
        <v>1990</v>
      </c>
      <c r="E557" s="4">
        <f>IF(D557="","",FLOOR(D557,10))</f>
        <v/>
      </c>
      <c r="F557" s="22" t="n">
        <v>148</v>
      </c>
      <c r="G557" s="23" t="n">
        <v>8.699999999999999</v>
      </c>
      <c r="H557" t="inlineStr">
        <is>
          <t>Martin Scorsese</t>
        </is>
      </c>
      <c r="I557" t="inlineStr">
        <is>
          <t>Estados Unidos</t>
        </is>
      </c>
      <c r="J557" t="inlineStr">
        <is>
          <t>Crimen, Biográfico, Drama</t>
        </is>
      </c>
      <c r="M557" s="6" t="n"/>
      <c r="O557" s="24" t="inlineStr"/>
      <c r="Q557" s="25" t="n">
        <v>6368901</v>
      </c>
      <c r="R557" s="25" t="n">
        <v>46909721</v>
      </c>
      <c r="S557" s="25" t="n"/>
      <c r="T557" s="25">
        <f>IF(AND(R557="",S557=""),"",N(R557)+N(S557))</f>
        <v/>
      </c>
      <c r="U557" s="25" t="n"/>
      <c r="V557" s="26" t="inlineStr">
        <is>
          <t>IMDb</t>
        </is>
      </c>
      <c r="W557" s="26" t="inlineStr">
        <is>
          <t>FilmAffinity</t>
        </is>
      </c>
      <c r="X557" s="26" t="inlineStr">
        <is>
          <t>Letterboxd</t>
        </is>
      </c>
    </row>
    <row r="558">
      <c r="A558" t="inlineStr">
        <is>
          <t>p0557</t>
        </is>
      </c>
      <c r="B558" t="inlineStr">
        <is>
          <t>Despertares</t>
        </is>
      </c>
      <c r="C558" t="inlineStr">
        <is>
          <t>Awakenings</t>
        </is>
      </c>
      <c r="D558" s="4" t="n">
        <v>1990</v>
      </c>
      <c r="E558" s="4">
        <f>IF(D558="","",FLOOR(D558,10))</f>
        <v/>
      </c>
      <c r="F558" s="22" t="n">
        <v>121</v>
      </c>
      <c r="G558" s="23" t="n">
        <v>8.300000000000001</v>
      </c>
      <c r="H558" t="inlineStr">
        <is>
          <t>Penny Marshall</t>
        </is>
      </c>
      <c r="I558" t="inlineStr">
        <is>
          <t>Estados Unidos</t>
        </is>
      </c>
      <c r="J558" t="inlineStr">
        <is>
          <t>Drama, Biográfico</t>
        </is>
      </c>
      <c r="M558" s="6" t="n"/>
      <c r="O558" s="24" t="inlineStr"/>
      <c r="Q558" s="25" t="n">
        <v>417076</v>
      </c>
      <c r="R558" s="25" t="n">
        <v>52096475</v>
      </c>
      <c r="S558" s="25" t="n"/>
      <c r="T558" s="25">
        <f>IF(AND(R558="",S558=""),"",N(R558)+N(S558))</f>
        <v/>
      </c>
      <c r="U558" s="25" t="n"/>
      <c r="V558" s="26" t="inlineStr">
        <is>
          <t>IMDb</t>
        </is>
      </c>
      <c r="W558" s="26" t="inlineStr">
        <is>
          <t>FilmAffinity</t>
        </is>
      </c>
      <c r="X558" s="26" t="inlineStr">
        <is>
          <t>Letterboxd</t>
        </is>
      </c>
    </row>
    <row r="559">
      <c r="A559" t="inlineStr">
        <is>
          <t>p0558</t>
        </is>
      </c>
      <c r="B559" t="inlineStr">
        <is>
          <t>Ghost</t>
        </is>
      </c>
      <c r="C559" t="inlineStr">
        <is>
          <t>Ghost</t>
        </is>
      </c>
      <c r="D559" s="4" t="n">
        <v>1990</v>
      </c>
      <c r="E559" s="4">
        <f>IF(D559="","",FLOOR(D559,10))</f>
        <v/>
      </c>
      <c r="F559" s="22" t="n">
        <v>127</v>
      </c>
      <c r="G559" s="23" t="n">
        <v>7.9</v>
      </c>
      <c r="H559" t="inlineStr">
        <is>
          <t>Jerry Zucker</t>
        </is>
      </c>
      <c r="I559" t="inlineStr">
        <is>
          <t>Estados Unidos</t>
        </is>
      </c>
      <c r="J559" t="inlineStr">
        <is>
          <t>Romance, Fantasía, Drama</t>
        </is>
      </c>
      <c r="M559" s="6" t="n"/>
      <c r="O559" s="24" t="inlineStr"/>
      <c r="Q559" s="25" t="n">
        <v>12191540</v>
      </c>
      <c r="R559" s="25" t="n">
        <v>217631306</v>
      </c>
      <c r="S559" s="25" t="n"/>
      <c r="T559" s="25">
        <f>IF(AND(R559="",S559=""),"",N(R559)+N(S559))</f>
        <v/>
      </c>
      <c r="U559" s="25" t="n"/>
      <c r="V559" s="26" t="inlineStr">
        <is>
          <t>IMDb</t>
        </is>
      </c>
      <c r="W559" s="26" t="inlineStr">
        <is>
          <t>FilmAffinity</t>
        </is>
      </c>
      <c r="X559" s="26" t="inlineStr">
        <is>
          <t>Letterboxd</t>
        </is>
      </c>
    </row>
    <row r="560">
      <c r="A560" t="inlineStr">
        <is>
          <t>p0559</t>
        </is>
      </c>
      <c r="B560" t="inlineStr">
        <is>
          <t>Misery</t>
        </is>
      </c>
      <c r="C560" t="inlineStr">
        <is>
          <t>Misery</t>
        </is>
      </c>
      <c r="D560" s="4" t="n">
        <v>1990</v>
      </c>
      <c r="E560" s="4">
        <f>IF(D560="","",FLOOR(D560,10))</f>
        <v/>
      </c>
      <c r="F560" s="22" t="n">
        <v>104</v>
      </c>
      <c r="G560" s="23" t="n">
        <v>7.1</v>
      </c>
      <c r="H560" t="inlineStr">
        <is>
          <t>Rob Reiner</t>
        </is>
      </c>
      <c r="I560" t="inlineStr">
        <is>
          <t>Estados Unidos</t>
        </is>
      </c>
      <c r="J560" t="inlineStr">
        <is>
          <t>Thriller, Terror</t>
        </is>
      </c>
      <c r="M560" s="6" t="n"/>
      <c r="O560" s="24" t="inlineStr"/>
      <c r="Q560" s="25" t="n">
        <v>10076834</v>
      </c>
      <c r="R560" s="25" t="n">
        <v>61276872</v>
      </c>
      <c r="S560" s="25" t="n"/>
      <c r="T560" s="25">
        <f>IF(AND(R560="",S560=""),"",N(R560)+N(S560))</f>
        <v/>
      </c>
      <c r="U560" s="25" t="n"/>
      <c r="V560" s="26" t="inlineStr">
        <is>
          <t>IMDb</t>
        </is>
      </c>
      <c r="W560" s="26" t="inlineStr">
        <is>
          <t>FilmAffinity</t>
        </is>
      </c>
      <c r="X560" s="26" t="inlineStr">
        <is>
          <t>Letterboxd</t>
        </is>
      </c>
    </row>
    <row r="561">
      <c r="A561" t="inlineStr">
        <is>
          <t>p0560</t>
        </is>
      </c>
      <c r="B561" t="inlineStr">
        <is>
          <t>El Club de los Poetas Muertos</t>
        </is>
      </c>
      <c r="C561" t="inlineStr">
        <is>
          <t>Dead Poets Society</t>
        </is>
      </c>
      <c r="D561" s="4" t="n">
        <v>1989</v>
      </c>
      <c r="E561" s="4">
        <f>IF(D561="","",FLOOR(D561,10))</f>
        <v/>
      </c>
      <c r="F561" s="22" t="n">
        <v>124</v>
      </c>
      <c r="G561" s="23" t="n">
        <v>8.300000000000001</v>
      </c>
      <c r="H561" t="inlineStr">
        <is>
          <t>Peter Weir</t>
        </is>
      </c>
      <c r="I561" t="inlineStr">
        <is>
          <t>Estados Unidos</t>
        </is>
      </c>
      <c r="J561" t="inlineStr">
        <is>
          <t>Drama</t>
        </is>
      </c>
      <c r="M561" s="6" t="n"/>
      <c r="O561" s="24" t="inlineStr"/>
      <c r="Q561" s="25" t="n">
        <v>340456</v>
      </c>
      <c r="R561" s="25" t="n">
        <v>95860116</v>
      </c>
      <c r="S561" s="25" t="n"/>
      <c r="T561" s="25">
        <f>IF(AND(R561="",S561=""),"",N(R561)+N(S561))</f>
        <v/>
      </c>
      <c r="U561" s="25" t="n"/>
      <c r="V561" s="26" t="inlineStr">
        <is>
          <t>IMDb</t>
        </is>
      </c>
      <c r="W561" s="26" t="inlineStr">
        <is>
          <t>FilmAffinity</t>
        </is>
      </c>
      <c r="X561" s="26" t="inlineStr">
        <is>
          <t>Letterboxd</t>
        </is>
      </c>
    </row>
    <row r="562">
      <c r="A562" t="inlineStr">
        <is>
          <t>p0561</t>
        </is>
      </c>
      <c r="B562" t="inlineStr">
        <is>
          <t>Nicky la Aprendiz de Bruja</t>
        </is>
      </c>
      <c r="C562" t="inlineStr">
        <is>
          <t>Kiki's Delivery Service</t>
        </is>
      </c>
      <c r="D562" s="4" t="n">
        <v>1989</v>
      </c>
      <c r="E562" s="4">
        <f>IF(D562="","",FLOOR(D562,10))</f>
        <v/>
      </c>
      <c r="F562" s="22" t="n">
        <v>101</v>
      </c>
      <c r="G562" s="23" t="n">
        <v>7</v>
      </c>
      <c r="H562" t="inlineStr">
        <is>
          <t>Hayao Miyazaki</t>
        </is>
      </c>
      <c r="I562" t="inlineStr">
        <is>
          <t>Japón</t>
        </is>
      </c>
      <c r="J562" t="inlineStr">
        <is>
          <t>Animación, Fantasía, Familiar</t>
        </is>
      </c>
      <c r="M562" s="6" t="n"/>
      <c r="O562" s="24" t="inlineStr"/>
      <c r="Q562" s="25" t="n"/>
      <c r="R562" s="25" t="n"/>
      <c r="S562" s="25" t="n"/>
      <c r="T562" s="25">
        <f>IF(AND(R562="",S562=""),"",N(R562)+N(S562))</f>
        <v/>
      </c>
      <c r="U562" s="25" t="n"/>
      <c r="V562" s="26" t="inlineStr">
        <is>
          <t>IMDb</t>
        </is>
      </c>
      <c r="W562" s="26" t="inlineStr">
        <is>
          <t>FilmAffinity</t>
        </is>
      </c>
      <c r="X562" s="26" t="inlineStr">
        <is>
          <t>Letterboxd</t>
        </is>
      </c>
    </row>
    <row r="563">
      <c r="A563" t="inlineStr">
        <is>
          <t>p0562</t>
        </is>
      </c>
      <c r="B563" t="inlineStr">
        <is>
          <t>La sirenita</t>
        </is>
      </c>
      <c r="C563" t="inlineStr">
        <is>
          <t>The Little Mermaid</t>
        </is>
      </c>
      <c r="D563" s="4" t="n">
        <v>1989</v>
      </c>
      <c r="E563" s="4">
        <f>IF(D563="","",FLOOR(D563,10))</f>
        <v/>
      </c>
      <c r="F563" s="22" t="n">
        <v>79</v>
      </c>
      <c r="G563" s="23" t="n">
        <v>6.8</v>
      </c>
      <c r="H563" t="inlineStr">
        <is>
          <t>John Musker / Ron Clements</t>
        </is>
      </c>
      <c r="I563" t="inlineStr">
        <is>
          <t>Estados Unidos</t>
        </is>
      </c>
      <c r="J563" t="inlineStr">
        <is>
          <t>Animación, Musical, Fantasía</t>
        </is>
      </c>
      <c r="M563" s="6" t="n"/>
      <c r="O563" s="24" t="inlineStr"/>
      <c r="Q563" s="25" t="n"/>
      <c r="R563" s="25" t="n"/>
      <c r="S563" s="25" t="n"/>
      <c r="T563" s="25">
        <f>IF(AND(R563="",S563=""),"",N(R563)+N(S563))</f>
        <v/>
      </c>
      <c r="U563" s="25" t="n"/>
      <c r="V563" s="26" t="inlineStr">
        <is>
          <t>IMDb</t>
        </is>
      </c>
      <c r="W563" s="26" t="inlineStr">
        <is>
          <t>FilmAffinity</t>
        </is>
      </c>
      <c r="X563" s="26" t="inlineStr">
        <is>
          <t>Letterboxd</t>
        </is>
      </c>
    </row>
    <row r="564">
      <c r="A564" t="inlineStr">
        <is>
          <t>p0563</t>
        </is>
      </c>
      <c r="B564" t="inlineStr">
        <is>
          <t>Rain Man</t>
        </is>
      </c>
      <c r="C564" t="inlineStr">
        <is>
          <t>Rain Man</t>
        </is>
      </c>
      <c r="D564" s="4" t="n">
        <v>1988</v>
      </c>
      <c r="E564" s="4">
        <f>IF(D564="","",FLOOR(D564,10))</f>
        <v/>
      </c>
      <c r="F564" s="22" t="n">
        <v>129</v>
      </c>
      <c r="G564" s="23" t="n">
        <v>9.199999999999999</v>
      </c>
      <c r="H564" t="inlineStr">
        <is>
          <t>Barry Levinson</t>
        </is>
      </c>
      <c r="I564" t="inlineStr">
        <is>
          <t>Estados Unidos</t>
        </is>
      </c>
      <c r="J564" t="inlineStr">
        <is>
          <t>Drama</t>
        </is>
      </c>
      <c r="M564" s="6" t="n"/>
      <c r="O564" s="24" t="inlineStr"/>
      <c r="Q564" s="25" t="n">
        <v>7005719</v>
      </c>
      <c r="R564" s="25" t="n">
        <v>172825435</v>
      </c>
      <c r="S564" s="25" t="n"/>
      <c r="T564" s="25">
        <f>IF(AND(R564="",S564=""),"",N(R564)+N(S564))</f>
        <v/>
      </c>
      <c r="U564" s="25" t="n"/>
      <c r="V564" s="26" t="inlineStr">
        <is>
          <t>IMDb</t>
        </is>
      </c>
      <c r="W564" s="26" t="inlineStr">
        <is>
          <t>FilmAffinity</t>
        </is>
      </c>
      <c r="X564" s="26" t="inlineStr">
        <is>
          <t>Letterboxd</t>
        </is>
      </c>
    </row>
    <row r="565">
      <c r="A565" t="inlineStr">
        <is>
          <t>p0564</t>
        </is>
      </c>
      <c r="B565" t="inlineStr">
        <is>
          <t>Akira</t>
        </is>
      </c>
      <c r="C565" t="inlineStr">
        <is>
          <t>Akira</t>
        </is>
      </c>
      <c r="D565" s="4" t="n">
        <v>1988</v>
      </c>
      <c r="E565" s="4">
        <f>IF(D565="","",FLOOR(D565,10))</f>
        <v/>
      </c>
      <c r="F565" s="22" t="n">
        <v>124</v>
      </c>
      <c r="G565" s="23" t="n">
        <v>8.800000000000001</v>
      </c>
      <c r="H565" t="inlineStr">
        <is>
          <t>Katsuhiro Otomo</t>
        </is>
      </c>
      <c r="I565" t="inlineStr">
        <is>
          <t>Japón</t>
        </is>
      </c>
      <c r="J565" t="inlineStr">
        <is>
          <t>Animación, Ciencia ficción, Acción</t>
        </is>
      </c>
      <c r="M565" s="6" t="n"/>
      <c r="O565" s="24" t="inlineStr"/>
      <c r="Q565" s="25" t="n"/>
      <c r="R565" s="25" t="n"/>
      <c r="S565" s="25" t="n"/>
      <c r="T565" s="25">
        <f>IF(AND(R565="",S565=""),"",N(R565)+N(S565))</f>
        <v/>
      </c>
      <c r="U565" s="25" t="n"/>
      <c r="V565" s="26" t="inlineStr">
        <is>
          <t>IMDb</t>
        </is>
      </c>
      <c r="W565" s="26" t="inlineStr">
        <is>
          <t>FilmAffinity</t>
        </is>
      </c>
      <c r="X565" s="26" t="inlineStr">
        <is>
          <t>Letterboxd</t>
        </is>
      </c>
    </row>
    <row r="566">
      <c r="A566" t="inlineStr">
        <is>
          <t>p0565</t>
        </is>
      </c>
      <c r="B566" t="inlineStr">
        <is>
          <t>Willow</t>
        </is>
      </c>
      <c r="C566" t="inlineStr">
        <is>
          <t>Willow</t>
        </is>
      </c>
      <c r="D566" s="4" t="n">
        <v>1988</v>
      </c>
      <c r="E566" s="4">
        <f>IF(D566="","",FLOOR(D566,10))</f>
        <v/>
      </c>
      <c r="F566" s="22" t="n">
        <v>120</v>
      </c>
      <c r="G566" s="23" t="n">
        <v>7.9</v>
      </c>
      <c r="H566" t="inlineStr">
        <is>
          <t>Ron Howard</t>
        </is>
      </c>
      <c r="I566" t="inlineStr">
        <is>
          <t>Estados Unidos</t>
        </is>
      </c>
      <c r="J566" t="inlineStr">
        <is>
          <t>Fantasía, Aventura</t>
        </is>
      </c>
      <c r="M566" s="6" t="n"/>
      <c r="O566" s="24" t="inlineStr"/>
      <c r="Q566" s="25" t="n">
        <v>8300169</v>
      </c>
      <c r="R566" s="25" t="n">
        <v>57269863</v>
      </c>
      <c r="S566" s="25" t="n"/>
      <c r="T566" s="25">
        <f>IF(AND(R566="",S566=""),"",N(R566)+N(S566))</f>
        <v/>
      </c>
      <c r="U566" s="25" t="n"/>
      <c r="V566" s="26" t="inlineStr">
        <is>
          <t>IMDb</t>
        </is>
      </c>
      <c r="W566" s="26" t="inlineStr">
        <is>
          <t>FilmAffinity</t>
        </is>
      </c>
      <c r="X566" s="26" t="inlineStr">
        <is>
          <t>Letterboxd</t>
        </is>
      </c>
    </row>
    <row r="567">
      <c r="A567" t="inlineStr">
        <is>
          <t>p0566</t>
        </is>
      </c>
      <c r="B567" t="inlineStr">
        <is>
          <t>Mi vecino Totoro</t>
        </is>
      </c>
      <c r="C567" t="inlineStr">
        <is>
          <t>My Neighbor Totoro</t>
        </is>
      </c>
      <c r="D567" s="4" t="n">
        <v>1988</v>
      </c>
      <c r="E567" s="4">
        <f>IF(D567="","",FLOOR(D567,10))</f>
        <v/>
      </c>
      <c r="F567" s="22" t="n">
        <v>86</v>
      </c>
      <c r="G567" s="23" t="n">
        <v>7.8</v>
      </c>
      <c r="H567" t="inlineStr">
        <is>
          <t>Hayao Miyazaki</t>
        </is>
      </c>
      <c r="I567" t="inlineStr">
        <is>
          <t>Japón</t>
        </is>
      </c>
      <c r="J567" t="inlineStr">
        <is>
          <t>Animación, Fantasía, Familiar</t>
        </is>
      </c>
      <c r="M567" s="6" t="n"/>
      <c r="O567" s="24" t="inlineStr"/>
      <c r="Q567" s="25" t="n"/>
      <c r="R567" s="25" t="n"/>
      <c r="S567" s="25" t="n"/>
      <c r="T567" s="25">
        <f>IF(AND(R567="",S567=""),"",N(R567)+N(S567))</f>
        <v/>
      </c>
      <c r="U567" s="25" t="n"/>
      <c r="V567" s="26" t="inlineStr">
        <is>
          <t>IMDb</t>
        </is>
      </c>
      <c r="W567" s="26" t="inlineStr">
        <is>
          <t>FilmAffinity</t>
        </is>
      </c>
      <c r="X567" s="26" t="inlineStr">
        <is>
          <t>Letterboxd</t>
        </is>
      </c>
    </row>
    <row r="568">
      <c r="A568" t="inlineStr">
        <is>
          <t>p0567</t>
        </is>
      </c>
      <c r="B568" t="inlineStr">
        <is>
          <t>La tumba de las luciérnagas</t>
        </is>
      </c>
      <c r="C568" t="inlineStr">
        <is>
          <t>Grave of the Fireflies</t>
        </is>
      </c>
      <c r="D568" s="4" t="n">
        <v>1988</v>
      </c>
      <c r="E568" s="4">
        <f>IF(D568="","",FLOOR(D568,10))</f>
        <v/>
      </c>
      <c r="F568" s="22" t="n">
        <v>93</v>
      </c>
      <c r="G568" s="23" t="n">
        <v>7.8</v>
      </c>
      <c r="H568" t="inlineStr">
        <is>
          <t>Isao Takahata</t>
        </is>
      </c>
      <c r="I568" t="inlineStr">
        <is>
          <t>Japón</t>
        </is>
      </c>
      <c r="J568" t="inlineStr">
        <is>
          <t>Animación, Drama, Bélico</t>
        </is>
      </c>
      <c r="M568" s="6" t="n"/>
      <c r="O568" s="24" t="inlineStr"/>
      <c r="Q568" s="25" t="n"/>
      <c r="R568" s="25" t="n"/>
      <c r="S568" s="25" t="n"/>
      <c r="T568" s="25">
        <f>IF(AND(R568="",S568=""),"",N(R568)+N(S568))</f>
        <v/>
      </c>
      <c r="U568" s="25" t="n"/>
      <c r="V568" s="26" t="inlineStr">
        <is>
          <t>IMDb</t>
        </is>
      </c>
      <c r="W568" s="26" t="inlineStr">
        <is>
          <t>FilmAffinity</t>
        </is>
      </c>
      <c r="X568" s="26" t="inlineStr">
        <is>
          <t>Letterboxd</t>
        </is>
      </c>
    </row>
    <row r="569">
      <c r="A569" t="inlineStr">
        <is>
          <t>p0568</t>
        </is>
      </c>
      <c r="B569" t="inlineStr">
        <is>
          <t>Bitelchús</t>
        </is>
      </c>
      <c r="C569" t="inlineStr">
        <is>
          <t>Beetlejuice</t>
        </is>
      </c>
      <c r="D569" s="4" t="n">
        <v>1988</v>
      </c>
      <c r="E569" s="4">
        <f>IF(D569="","",FLOOR(D569,10))</f>
        <v/>
      </c>
      <c r="F569" s="22" t="n">
        <v>93</v>
      </c>
      <c r="G569" s="23" t="n">
        <v>7.3</v>
      </c>
      <c r="H569" t="inlineStr">
        <is>
          <t>Tim Burton</t>
        </is>
      </c>
      <c r="I569" t="inlineStr">
        <is>
          <t>Estados Unidos</t>
        </is>
      </c>
      <c r="J569" t="inlineStr">
        <is>
          <t>Comedia, Fantasía, Terror</t>
        </is>
      </c>
      <c r="K569" t="inlineStr">
        <is>
          <t>Bitelchús</t>
        </is>
      </c>
      <c r="M569" s="6" t="n"/>
      <c r="O569" s="24" t="inlineStr"/>
      <c r="Q569" s="25" t="n"/>
      <c r="R569" s="25" t="n"/>
      <c r="S569" s="25" t="n"/>
      <c r="T569" s="25">
        <f>IF(AND(R569="",S569=""),"",N(R569)+N(S569))</f>
        <v/>
      </c>
      <c r="U569" s="25" t="n"/>
      <c r="V569" s="26" t="inlineStr">
        <is>
          <t>IMDb</t>
        </is>
      </c>
      <c r="W569" s="26" t="inlineStr">
        <is>
          <t>FilmAffinity</t>
        </is>
      </c>
      <c r="X569" s="26" t="inlineStr">
        <is>
          <t>Letterboxd</t>
        </is>
      </c>
    </row>
    <row r="570">
      <c r="A570" t="inlineStr">
        <is>
          <t>p0569</t>
        </is>
      </c>
      <c r="B570" t="inlineStr">
        <is>
          <t>Mujeres al borde de un ataque de nervios</t>
        </is>
      </c>
      <c r="C570" t="inlineStr">
        <is>
          <t>Mujeres al borde de un ataque de nervios</t>
        </is>
      </c>
      <c r="D570" s="4" t="n">
        <v>1988</v>
      </c>
      <c r="E570" s="4">
        <f>IF(D570="","",FLOOR(D570,10))</f>
        <v/>
      </c>
      <c r="F570" s="22" t="n">
        <v>89</v>
      </c>
      <c r="G570" s="23" t="n">
        <v>6.5</v>
      </c>
      <c r="H570" t="inlineStr">
        <is>
          <t>Pedro Almodóvar</t>
        </is>
      </c>
      <c r="I570" t="inlineStr">
        <is>
          <t>España</t>
        </is>
      </c>
      <c r="J570" t="inlineStr">
        <is>
          <t>Comedia, Drama</t>
        </is>
      </c>
      <c r="M570" s="6" t="n"/>
      <c r="O570" s="24" t="inlineStr"/>
      <c r="Q570" s="25" t="n"/>
      <c r="R570" s="25" t="n"/>
      <c r="S570" s="25" t="n"/>
      <c r="T570" s="25">
        <f>IF(AND(R570="",S570=""),"",N(R570)+N(S570))</f>
        <v/>
      </c>
      <c r="U570" s="25" t="n"/>
      <c r="V570" s="26" t="inlineStr">
        <is>
          <t>IMDb</t>
        </is>
      </c>
      <c r="W570" s="26" t="inlineStr">
        <is>
          <t>FilmAffinity</t>
        </is>
      </c>
      <c r="X570" s="26" t="inlineStr">
        <is>
          <t>Letterboxd</t>
        </is>
      </c>
    </row>
    <row r="571">
      <c r="A571" t="inlineStr">
        <is>
          <t>p0570</t>
        </is>
      </c>
      <c r="B571" t="inlineStr">
        <is>
          <t>Gorilas en la niebla</t>
        </is>
      </c>
      <c r="C571" t="inlineStr">
        <is>
          <t>Gorillas in the Mist</t>
        </is>
      </c>
      <c r="D571" s="4" t="n">
        <v>1988</v>
      </c>
      <c r="E571" s="4">
        <f>IF(D571="","",FLOOR(D571,10))</f>
        <v/>
      </c>
      <c r="F571" s="22" t="n">
        <v>129</v>
      </c>
      <c r="G571" s="23" t="n">
        <v>6.3</v>
      </c>
      <c r="H571" t="inlineStr">
        <is>
          <t>Michael Apted</t>
        </is>
      </c>
      <c r="I571" t="inlineStr">
        <is>
          <t>Estados Unidos</t>
        </is>
      </c>
      <c r="J571" t="inlineStr">
        <is>
          <t>Biográfico, Drama, Aventura</t>
        </is>
      </c>
      <c r="M571" s="6" t="n"/>
      <c r="O571" s="24" t="inlineStr"/>
      <c r="Q571" s="25" t="n"/>
      <c r="R571" s="25" t="n"/>
      <c r="S571" s="25" t="n"/>
      <c r="T571" s="25">
        <f>IF(AND(R571="",S571=""),"",N(R571)+N(S571))</f>
        <v/>
      </c>
      <c r="U571" s="25" t="n"/>
      <c r="V571" s="26" t="inlineStr">
        <is>
          <t>IMDb</t>
        </is>
      </c>
      <c r="W571" s="26" t="inlineStr">
        <is>
          <t>FilmAffinity</t>
        </is>
      </c>
      <c r="X571" s="26" t="inlineStr">
        <is>
          <t>Letterboxd</t>
        </is>
      </c>
    </row>
    <row r="572">
      <c r="A572" t="inlineStr">
        <is>
          <t>p0571</t>
        </is>
      </c>
      <c r="B572" t="inlineStr">
        <is>
          <t>Good Morning, Vietnam</t>
        </is>
      </c>
      <c r="C572" t="inlineStr">
        <is>
          <t>Good Morning, Vietnam</t>
        </is>
      </c>
      <c r="D572" s="4" t="n">
        <v>1987</v>
      </c>
      <c r="E572" s="4">
        <f>IF(D572="","",FLOOR(D572,10))</f>
        <v/>
      </c>
      <c r="F572" s="22" t="n">
        <v>121</v>
      </c>
      <c r="G572" s="23" t="n">
        <v>9</v>
      </c>
      <c r="H572" t="inlineStr">
        <is>
          <t>Barry Levinson</t>
        </is>
      </c>
      <c r="I572" t="inlineStr">
        <is>
          <t>Estados Unidos</t>
        </is>
      </c>
      <c r="J572" t="inlineStr">
        <is>
          <t>Comedia, Drama, Bélico</t>
        </is>
      </c>
      <c r="M572" s="6" t="n"/>
      <c r="O572" s="24" t="inlineStr"/>
      <c r="Q572" s="25" t="n"/>
      <c r="R572" s="25" t="n"/>
      <c r="S572" s="25" t="n"/>
      <c r="T572" s="25">
        <f>IF(AND(R572="",S572=""),"",N(R572)+N(S572))</f>
        <v/>
      </c>
      <c r="U572" s="25" t="n"/>
      <c r="V572" s="26" t="inlineStr">
        <is>
          <t>IMDb</t>
        </is>
      </c>
      <c r="W572" s="26" t="inlineStr">
        <is>
          <t>FilmAffinity</t>
        </is>
      </c>
      <c r="X572" s="26" t="inlineStr">
        <is>
          <t>Letterboxd</t>
        </is>
      </c>
    </row>
    <row r="573">
      <c r="A573" t="inlineStr">
        <is>
          <t>p0572</t>
        </is>
      </c>
      <c r="B573" t="inlineStr">
        <is>
          <t>Predator</t>
        </is>
      </c>
      <c r="C573" t="inlineStr">
        <is>
          <t>Predator</t>
        </is>
      </c>
      <c r="D573" s="4" t="n">
        <v>1987</v>
      </c>
      <c r="E573" s="4">
        <f>IF(D573="","",FLOOR(D573,10))</f>
        <v/>
      </c>
      <c r="F573" s="22" t="n">
        <v>107</v>
      </c>
      <c r="G573" s="23" t="n">
        <v>7.2</v>
      </c>
      <c r="H573" t="inlineStr">
        <is>
          <t>John McTiernan</t>
        </is>
      </c>
      <c r="I573" t="inlineStr">
        <is>
          <t>Estados Unidos</t>
        </is>
      </c>
      <c r="J573" t="inlineStr">
        <is>
          <t>Acción, Ciencia ficción, Terror</t>
        </is>
      </c>
      <c r="M573" s="6" t="n"/>
      <c r="O573" s="24" t="inlineStr"/>
      <c r="Q573" s="25" t="n">
        <v>12031638</v>
      </c>
      <c r="R573" s="25" t="n">
        <v>59735548</v>
      </c>
      <c r="S573" s="25" t="n"/>
      <c r="T573" s="25">
        <f>IF(AND(R573="",S573=""),"",N(R573)+N(S573))</f>
        <v/>
      </c>
      <c r="U573" s="25" t="n"/>
      <c r="V573" s="26" t="inlineStr">
        <is>
          <t>IMDb</t>
        </is>
      </c>
      <c r="W573" s="26" t="inlineStr">
        <is>
          <t>FilmAffinity</t>
        </is>
      </c>
      <c r="X573" s="26" t="inlineStr">
        <is>
          <t>Letterboxd</t>
        </is>
      </c>
    </row>
    <row r="574">
      <c r="A574" t="inlineStr">
        <is>
          <t>p0573</t>
        </is>
      </c>
      <c r="B574" t="inlineStr">
        <is>
          <t>Platoon</t>
        </is>
      </c>
      <c r="C574" t="inlineStr">
        <is>
          <t>Platoon</t>
        </is>
      </c>
      <c r="D574" s="4" t="n">
        <v>1986</v>
      </c>
      <c r="E574" s="4">
        <f>IF(D574="","",FLOOR(D574,10))</f>
        <v/>
      </c>
      <c r="F574" s="22" t="n">
        <v>120</v>
      </c>
      <c r="G574" s="23" t="n">
        <v>7.5</v>
      </c>
      <c r="H574" t="inlineStr">
        <is>
          <t>Oliver Stone</t>
        </is>
      </c>
      <c r="I574" t="inlineStr">
        <is>
          <t>Estados Unidos</t>
        </is>
      </c>
      <c r="J574" t="inlineStr">
        <is>
          <t>Bélico, Drama</t>
        </is>
      </c>
      <c r="M574" s="6" t="n"/>
      <c r="O574" s="24" t="inlineStr"/>
      <c r="Q574" s="25" t="n">
        <v>24108</v>
      </c>
      <c r="R574" s="25" t="n">
        <v>138530565</v>
      </c>
      <c r="S574" s="25" t="n"/>
      <c r="T574" s="25">
        <f>IF(AND(R574="",S574=""),"",N(R574)+N(S574))</f>
        <v/>
      </c>
      <c r="U574" s="25" t="n"/>
      <c r="V574" s="26" t="inlineStr">
        <is>
          <t>IMDb</t>
        </is>
      </c>
      <c r="W574" s="26" t="inlineStr">
        <is>
          <t>FilmAffinity</t>
        </is>
      </c>
      <c r="X574" s="26" t="inlineStr">
        <is>
          <t>Letterboxd</t>
        </is>
      </c>
    </row>
    <row r="575">
      <c r="A575" t="inlineStr">
        <is>
          <t>p0574</t>
        </is>
      </c>
      <c r="B575" t="inlineStr">
        <is>
          <t>Los Goonies</t>
        </is>
      </c>
      <c r="C575" t="inlineStr">
        <is>
          <t>The Goonies</t>
        </is>
      </c>
      <c r="D575" s="4" t="n">
        <v>1985</v>
      </c>
      <c r="E575" s="4">
        <f>IF(D575="","",FLOOR(D575,10))</f>
        <v/>
      </c>
      <c r="F575" s="22" t="n">
        <v>111</v>
      </c>
      <c r="G575" s="23" t="n">
        <v>9.300000000000001</v>
      </c>
      <c r="H575" t="inlineStr">
        <is>
          <t>Richard Donner</t>
        </is>
      </c>
      <c r="I575" t="inlineStr">
        <is>
          <t>Estados Unidos</t>
        </is>
      </c>
      <c r="J575" t="inlineStr">
        <is>
          <t>Aventura, Comedia, Familiar</t>
        </is>
      </c>
      <c r="M575" s="6" t="n"/>
      <c r="O575" s="24" t="inlineStr"/>
      <c r="Q575" s="25" t="n">
        <v>9105913</v>
      </c>
      <c r="R575" s="25" t="n">
        <v>64347714</v>
      </c>
      <c r="S575" s="25" t="n"/>
      <c r="T575" s="25">
        <f>IF(AND(R575="",S575=""),"",N(R575)+N(S575))</f>
        <v/>
      </c>
      <c r="U575" s="25" t="n"/>
      <c r="V575" s="26" t="inlineStr">
        <is>
          <t>IMDb</t>
        </is>
      </c>
      <c r="W575" s="26" t="inlineStr">
        <is>
          <t>FilmAffinity</t>
        </is>
      </c>
      <c r="X575" s="26" t="inlineStr">
        <is>
          <t>Letterboxd</t>
        </is>
      </c>
    </row>
    <row r="576">
      <c r="A576" t="inlineStr">
        <is>
          <t>p0575</t>
        </is>
      </c>
      <c r="B576" t="inlineStr">
        <is>
          <t>La Gran Aventura de Pee-Wee</t>
        </is>
      </c>
      <c r="C576" t="inlineStr">
        <is>
          <t>Pee-wee's Big Adventure</t>
        </is>
      </c>
      <c r="D576" s="4" t="n">
        <v>1985</v>
      </c>
      <c r="E576" s="4">
        <f>IF(D576="","",FLOOR(D576,10))</f>
        <v/>
      </c>
      <c r="F576" s="22" t="n">
        <v>90</v>
      </c>
      <c r="G576" s="23" t="n">
        <v>5.8</v>
      </c>
      <c r="H576" t="inlineStr">
        <is>
          <t>Tim Burton</t>
        </is>
      </c>
      <c r="I576" t="inlineStr">
        <is>
          <t>Estados Unidos</t>
        </is>
      </c>
      <c r="J576" t="inlineStr">
        <is>
          <t>Comedia, Aventura</t>
        </is>
      </c>
      <c r="M576" s="6" t="n"/>
      <c r="O576" s="24" t="inlineStr"/>
      <c r="Q576" s="25" t="n"/>
      <c r="R576" s="25" t="n"/>
      <c r="S576" s="25" t="n"/>
      <c r="T576" s="25">
        <f>IF(AND(R576="",S576=""),"",N(R576)+N(S576))</f>
        <v/>
      </c>
      <c r="U576" s="25" t="n"/>
      <c r="V576" s="26" t="inlineStr">
        <is>
          <t>IMDb</t>
        </is>
      </c>
      <c r="W576" s="26" t="inlineStr">
        <is>
          <t>FilmAffinity</t>
        </is>
      </c>
      <c r="X576" s="26" t="inlineStr">
        <is>
          <t>Letterboxd</t>
        </is>
      </c>
    </row>
    <row r="577">
      <c r="A577" t="inlineStr">
        <is>
          <t>p0576</t>
        </is>
      </c>
      <c r="B577" t="inlineStr">
        <is>
          <t>Los santos inocentes</t>
        </is>
      </c>
      <c r="C577" t="inlineStr">
        <is>
          <t>Los santos inocentes</t>
        </is>
      </c>
      <c r="D577" s="4" t="n">
        <v>1984</v>
      </c>
      <c r="E577" s="4">
        <f>IF(D577="","",FLOOR(D577,10))</f>
        <v/>
      </c>
      <c r="F577" s="22" t="n">
        <v>103</v>
      </c>
      <c r="G577" s="23" t="n">
        <v>8.1</v>
      </c>
      <c r="H577" t="inlineStr">
        <is>
          <t>Mario Camus</t>
        </is>
      </c>
      <c r="I577" t="inlineStr">
        <is>
          <t>España</t>
        </is>
      </c>
      <c r="J577" t="inlineStr">
        <is>
          <t>Drama</t>
        </is>
      </c>
      <c r="M577" s="6" t="n"/>
      <c r="O577" s="24" t="inlineStr"/>
      <c r="Q577" s="25" t="n"/>
      <c r="R577" s="25" t="n"/>
      <c r="S577" s="25" t="n"/>
      <c r="T577" s="25">
        <f>IF(AND(R577="",S577=""),"",N(R577)+N(S577))</f>
        <v/>
      </c>
      <c r="U577" s="25" t="n"/>
      <c r="V577" s="26" t="inlineStr">
        <is>
          <t>IMDb</t>
        </is>
      </c>
      <c r="W577" s="26" t="inlineStr">
        <is>
          <t>FilmAffinity</t>
        </is>
      </c>
      <c r="X577" s="26" t="inlineStr">
        <is>
          <t>Letterboxd</t>
        </is>
      </c>
    </row>
    <row r="578">
      <c r="A578" t="inlineStr">
        <is>
          <t>p0577</t>
        </is>
      </c>
      <c r="B578" t="inlineStr">
        <is>
          <t>Pesadilla en Elm Street</t>
        </is>
      </c>
      <c r="C578" t="inlineStr">
        <is>
          <t>A Nightmare on Elm Street</t>
        </is>
      </c>
      <c r="D578" s="4" t="n">
        <v>1984</v>
      </c>
      <c r="E578" s="4">
        <f>IF(D578="","",FLOOR(D578,10))</f>
        <v/>
      </c>
      <c r="F578" s="22" t="n">
        <v>101</v>
      </c>
      <c r="G578" s="23" t="n">
        <v>7.4</v>
      </c>
      <c r="H578" t="inlineStr">
        <is>
          <t>Wes Craven</t>
        </is>
      </c>
      <c r="I578" t="inlineStr">
        <is>
          <t>Estados Unidos</t>
        </is>
      </c>
      <c r="J578" t="inlineStr">
        <is>
          <t>Terror</t>
        </is>
      </c>
      <c r="M578" s="6" t="n"/>
      <c r="O578" s="24" t="inlineStr"/>
      <c r="Q578" s="25" t="n"/>
      <c r="R578" s="25" t="n"/>
      <c r="S578" s="25" t="n"/>
      <c r="T578" s="25">
        <f>IF(AND(R578="",S578=""),"",N(R578)+N(S578))</f>
        <v/>
      </c>
      <c r="U578" s="25" t="n"/>
      <c r="V578" s="26" t="inlineStr">
        <is>
          <t>IMDb</t>
        </is>
      </c>
      <c r="W578" s="26" t="inlineStr">
        <is>
          <t>FilmAffinity</t>
        </is>
      </c>
      <c r="X578" s="26" t="inlineStr">
        <is>
          <t>Letterboxd</t>
        </is>
      </c>
    </row>
    <row r="579">
      <c r="A579" t="inlineStr">
        <is>
          <t>p0578</t>
        </is>
      </c>
      <c r="B579" t="inlineStr">
        <is>
          <t>Gremlins</t>
        </is>
      </c>
      <c r="C579" t="inlineStr">
        <is>
          <t>Gremlins</t>
        </is>
      </c>
      <c r="D579" s="4" t="n">
        <v>1984</v>
      </c>
      <c r="E579" s="4">
        <f>IF(D579="","",FLOOR(D579,10))</f>
        <v/>
      </c>
      <c r="F579" s="22" t="n">
        <v>111</v>
      </c>
      <c r="G579" s="23" t="n">
        <v>7</v>
      </c>
      <c r="H579" t="inlineStr">
        <is>
          <t>Joe Dante</t>
        </is>
      </c>
      <c r="I579" t="inlineStr">
        <is>
          <t>Estados Unidos</t>
        </is>
      </c>
      <c r="J579" t="inlineStr">
        <is>
          <t>Comedia, Terror, Fantasía</t>
        </is>
      </c>
      <c r="M579" s="6" t="n"/>
      <c r="O579" s="24" t="inlineStr"/>
      <c r="Q579" s="25" t="n"/>
      <c r="R579" s="25" t="n"/>
      <c r="S579" s="25" t="n"/>
      <c r="T579" s="25">
        <f>IF(AND(R579="",S579=""),"",N(R579)+N(S579))</f>
        <v/>
      </c>
      <c r="U579" s="25" t="n"/>
      <c r="V579" s="26" t="inlineStr">
        <is>
          <t>IMDb</t>
        </is>
      </c>
      <c r="W579" s="26" t="inlineStr">
        <is>
          <t>FilmAffinity</t>
        </is>
      </c>
      <c r="X579" s="26" t="inlineStr">
        <is>
          <t>Letterboxd</t>
        </is>
      </c>
    </row>
    <row r="580">
      <c r="A580" t="inlineStr">
        <is>
          <t>p0579</t>
        </is>
      </c>
      <c r="B580" t="inlineStr">
        <is>
          <t>Los cazafantasmas</t>
        </is>
      </c>
      <c r="C580" t="inlineStr">
        <is>
          <t>Ghostbusters</t>
        </is>
      </c>
      <c r="D580" s="4" t="n">
        <v>1984</v>
      </c>
      <c r="E580" s="4">
        <f>IF(D580="","",FLOOR(D580,10))</f>
        <v/>
      </c>
      <c r="F580" s="22" t="n">
        <v>107</v>
      </c>
      <c r="G580" s="23" t="n">
        <v>6.5</v>
      </c>
      <c r="H580" t="inlineStr">
        <is>
          <t>Ivan Reitman</t>
        </is>
      </c>
      <c r="I580" t="inlineStr">
        <is>
          <t>Estados Unidos</t>
        </is>
      </c>
      <c r="J580" t="inlineStr">
        <is>
          <t>Comedia, Fantasía, Acción</t>
        </is>
      </c>
      <c r="M580" s="6" t="n"/>
      <c r="O580" s="24" t="inlineStr"/>
      <c r="Q580" s="25" t="n"/>
      <c r="R580" s="25" t="n"/>
      <c r="S580" s="25" t="n"/>
      <c r="T580" s="25">
        <f>IF(AND(R580="",S580=""),"",N(R580)+N(S580))</f>
        <v/>
      </c>
      <c r="U580" s="25" t="n"/>
      <c r="V580" s="26" t="inlineStr">
        <is>
          <t>IMDb</t>
        </is>
      </c>
      <c r="W580" s="26" t="inlineStr">
        <is>
          <t>FilmAffinity</t>
        </is>
      </c>
      <c r="X580" s="26" t="inlineStr">
        <is>
          <t>Letterboxd</t>
        </is>
      </c>
    </row>
    <row r="581">
      <c r="A581" t="inlineStr">
        <is>
          <t>p0580</t>
        </is>
      </c>
      <c r="B581" t="inlineStr">
        <is>
          <t>Karate Kid</t>
        </is>
      </c>
      <c r="C581" t="inlineStr">
        <is>
          <t>The Karate Kid</t>
        </is>
      </c>
      <c r="D581" s="4" t="n">
        <v>1984</v>
      </c>
      <c r="E581" s="4">
        <f>IF(D581="","",FLOOR(D581,10))</f>
        <v/>
      </c>
      <c r="F581" s="22" t="n">
        <v>126</v>
      </c>
      <c r="G581" s="23" t="n">
        <v>6.2</v>
      </c>
      <c r="H581" t="inlineStr">
        <is>
          <t>John G. Avildsen</t>
        </is>
      </c>
      <c r="I581" t="inlineStr">
        <is>
          <t>Estados Unidos</t>
        </is>
      </c>
      <c r="J581" t="inlineStr">
        <is>
          <t>Drama, Acción, Familiar</t>
        </is>
      </c>
      <c r="M581" s="6" t="n"/>
      <c r="O581" s="24" t="inlineStr"/>
      <c r="Q581" s="25" t="n"/>
      <c r="R581" s="25" t="n"/>
      <c r="S581" s="25" t="n"/>
      <c r="T581" s="25">
        <f>IF(AND(R581="",S581=""),"",N(R581)+N(S581))</f>
        <v/>
      </c>
      <c r="U581" s="25" t="n"/>
      <c r="V581" s="26" t="inlineStr">
        <is>
          <t>IMDb</t>
        </is>
      </c>
      <c r="W581" s="26" t="inlineStr">
        <is>
          <t>FilmAffinity</t>
        </is>
      </c>
      <c r="X581" s="26" t="inlineStr">
        <is>
          <t>Letterboxd</t>
        </is>
      </c>
    </row>
    <row r="582">
      <c r="A582" t="inlineStr">
        <is>
          <t>p0581</t>
        </is>
      </c>
      <c r="B582" t="inlineStr">
        <is>
          <t>Scarface</t>
        </is>
      </c>
      <c r="C582" t="inlineStr">
        <is>
          <t>Scarface</t>
        </is>
      </c>
      <c r="D582" s="4" t="n">
        <v>1983</v>
      </c>
      <c r="E582" s="4">
        <f>IF(D582="","",FLOOR(D582,10))</f>
        <v/>
      </c>
      <c r="F582" s="22" t="n">
        <v>163</v>
      </c>
      <c r="G582" s="23" t="n">
        <v>9.5</v>
      </c>
      <c r="H582" t="inlineStr">
        <is>
          <t>Brian De Palma</t>
        </is>
      </c>
      <c r="I582" t="inlineStr">
        <is>
          <t>Estados Unidos</t>
        </is>
      </c>
      <c r="J582" t="inlineStr">
        <is>
          <t>Crimen, Drama</t>
        </is>
      </c>
      <c r="M582" s="6" t="n"/>
      <c r="O582" s="24" t="inlineStr"/>
      <c r="Q582" s="25" t="n"/>
      <c r="R582" s="25" t="n"/>
      <c r="S582" s="25" t="n"/>
      <c r="T582" s="25">
        <f>IF(AND(R582="",S582=""),"",N(R582)+N(S582))</f>
        <v/>
      </c>
      <c r="U582" s="25" t="n"/>
      <c r="V582" s="26" t="inlineStr">
        <is>
          <t>IMDb</t>
        </is>
      </c>
      <c r="W582" s="26" t="inlineStr">
        <is>
          <t>FilmAffinity</t>
        </is>
      </c>
      <c r="X582" s="26" t="inlineStr">
        <is>
          <t>Letterboxd</t>
        </is>
      </c>
    </row>
    <row r="583">
      <c r="A583" t="inlineStr">
        <is>
          <t>p0582</t>
        </is>
      </c>
      <c r="B583" t="inlineStr">
        <is>
          <t>Star Wars Episodio VI: El Retorno del Jedi</t>
        </is>
      </c>
      <c r="C583" t="inlineStr">
        <is>
          <t>Return of the Jedi</t>
        </is>
      </c>
      <c r="D583" s="4" t="n">
        <v>1983</v>
      </c>
      <c r="E583" s="4">
        <f>IF(D583="","",FLOOR(D583,10))</f>
        <v/>
      </c>
      <c r="F583" s="22" t="n">
        <v>133</v>
      </c>
      <c r="G583" s="23" t="n">
        <v>7.7</v>
      </c>
      <c r="H583" t="inlineStr">
        <is>
          <t>George Lucas</t>
        </is>
      </c>
      <c r="I583" t="inlineStr">
        <is>
          <t>Estados Unidos</t>
        </is>
      </c>
      <c r="J583" t="inlineStr">
        <is>
          <t>Ciencia ficción, Aventura, Acción</t>
        </is>
      </c>
      <c r="K583" t="inlineStr">
        <is>
          <t>Star Wars</t>
        </is>
      </c>
      <c r="M583" s="6" t="n"/>
      <c r="O583" s="24" t="inlineStr"/>
      <c r="Q583" s="25" t="n">
        <v>23019618</v>
      </c>
      <c r="R583" s="25" t="n">
        <v>316566101</v>
      </c>
      <c r="S583" s="25" t="n"/>
      <c r="T583" s="25">
        <f>IF(AND(R583="",S583=""),"",N(R583)+N(S583))</f>
        <v/>
      </c>
      <c r="U583" s="25" t="n"/>
      <c r="V583" s="26" t="inlineStr">
        <is>
          <t>IMDb</t>
        </is>
      </c>
      <c r="W583" s="26" t="inlineStr">
        <is>
          <t>FilmAffinity</t>
        </is>
      </c>
      <c r="X583" s="26" t="inlineStr">
        <is>
          <t>Letterboxd</t>
        </is>
      </c>
    </row>
    <row r="584">
      <c r="A584" t="inlineStr">
        <is>
          <t>p0583</t>
        </is>
      </c>
      <c r="B584" t="inlineStr">
        <is>
          <t>Flashdance</t>
        </is>
      </c>
      <c r="C584" t="inlineStr">
        <is>
          <t>Flashdance</t>
        </is>
      </c>
      <c r="D584" s="4" t="n">
        <v>1983</v>
      </c>
      <c r="E584" s="4">
        <f>IF(D584="","",FLOOR(D584,10))</f>
        <v/>
      </c>
      <c r="F584" s="22" t="n">
        <v>96</v>
      </c>
      <c r="G584" s="23" t="n">
        <v>6.1</v>
      </c>
      <c r="H584" t="inlineStr">
        <is>
          <t>Adrian Lyne</t>
        </is>
      </c>
      <c r="I584" t="inlineStr">
        <is>
          <t>Estados Unidos</t>
        </is>
      </c>
      <c r="J584" t="inlineStr">
        <is>
          <t>Musical, Romance, Drama</t>
        </is>
      </c>
      <c r="M584" s="6" t="n"/>
      <c r="O584" s="24" t="inlineStr"/>
      <c r="Q584" s="25" t="n"/>
      <c r="R584" s="25" t="n"/>
      <c r="S584" s="25" t="n"/>
      <c r="T584" s="25">
        <f>IF(AND(R584="",S584=""),"",N(R584)+N(S584))</f>
        <v/>
      </c>
      <c r="U584" s="25" t="n"/>
      <c r="V584" s="26" t="inlineStr">
        <is>
          <t>IMDb</t>
        </is>
      </c>
      <c r="W584" s="26" t="inlineStr">
        <is>
          <t>FilmAffinity</t>
        </is>
      </c>
      <c r="X584" s="26" t="inlineStr">
        <is>
          <t>Letterboxd</t>
        </is>
      </c>
    </row>
    <row r="585">
      <c r="A585" t="inlineStr">
        <is>
          <t>p0584</t>
        </is>
      </c>
      <c r="B585" t="inlineStr">
        <is>
          <t>Blade Runner</t>
        </is>
      </c>
      <c r="C585" t="inlineStr">
        <is>
          <t>Blade Runner</t>
        </is>
      </c>
      <c r="D585" s="4" t="n">
        <v>1982</v>
      </c>
      <c r="E585" s="4">
        <f>IF(D585="","",FLOOR(D585,10))</f>
        <v/>
      </c>
      <c r="F585" s="22" t="n">
        <v>117</v>
      </c>
      <c r="G585" s="23" t="n">
        <v>8.4</v>
      </c>
      <c r="H585" t="inlineStr">
        <is>
          <t>Ridley Scott</t>
        </is>
      </c>
      <c r="I585" t="inlineStr">
        <is>
          <t>Estados Unidos</t>
        </is>
      </c>
      <c r="J585" t="inlineStr">
        <is>
          <t>Ciencia ficción, Thriller</t>
        </is>
      </c>
      <c r="K585" t="inlineStr">
        <is>
          <t>Blade Runner</t>
        </is>
      </c>
      <c r="M585" s="6" t="n"/>
      <c r="O585" s="24" t="inlineStr"/>
      <c r="Q585" s="25" t="n"/>
      <c r="R585" s="25" t="n"/>
      <c r="S585" s="25" t="n"/>
      <c r="T585" s="25">
        <f>IF(AND(R585="",S585=""),"",N(R585)+N(S585))</f>
        <v/>
      </c>
      <c r="U585" s="25" t="n"/>
      <c r="V585" s="26" t="inlineStr">
        <is>
          <t>IMDb</t>
        </is>
      </c>
      <c r="W585" s="26" t="inlineStr">
        <is>
          <t>FilmAffinity</t>
        </is>
      </c>
      <c r="X585" s="26" t="inlineStr">
        <is>
          <t>Letterboxd</t>
        </is>
      </c>
    </row>
    <row r="586">
      <c r="A586" t="inlineStr">
        <is>
          <t>p0585</t>
        </is>
      </c>
      <c r="B586" t="inlineStr">
        <is>
          <t>Volver a empezar</t>
        </is>
      </c>
      <c r="C586" t="inlineStr">
        <is>
          <t>Volver a empezar</t>
        </is>
      </c>
      <c r="D586" s="4" t="n">
        <v>1982</v>
      </c>
      <c r="E586" s="4">
        <f>IF(D586="","",FLOOR(D586,10))</f>
        <v/>
      </c>
      <c r="F586" s="22" t="n">
        <v>93</v>
      </c>
      <c r="G586" s="23" t="n">
        <v>8</v>
      </c>
      <c r="H586" t="inlineStr">
        <is>
          <t>José Luis Garci</t>
        </is>
      </c>
      <c r="I586" t="inlineStr">
        <is>
          <t>España</t>
        </is>
      </c>
      <c r="J586" t="inlineStr">
        <is>
          <t>Drama, Romance</t>
        </is>
      </c>
      <c r="M586" s="6" t="n"/>
      <c r="O586" s="24" t="inlineStr"/>
      <c r="Q586" s="25" t="n"/>
      <c r="R586" s="25" t="n"/>
      <c r="S586" s="25" t="n"/>
      <c r="T586" s="25">
        <f>IF(AND(R586="",S586=""),"",N(R586)+N(S586))</f>
        <v/>
      </c>
      <c r="U586" s="25" t="n"/>
      <c r="V586" s="26" t="inlineStr">
        <is>
          <t>IMDb</t>
        </is>
      </c>
      <c r="W586" s="26" t="inlineStr">
        <is>
          <t>FilmAffinity</t>
        </is>
      </c>
      <c r="X586" s="26" t="inlineStr">
        <is>
          <t>Letterboxd</t>
        </is>
      </c>
    </row>
    <row r="587">
      <c r="A587" t="inlineStr">
        <is>
          <t>p0586</t>
        </is>
      </c>
      <c r="B587" t="inlineStr">
        <is>
          <t>E.T., el extraterrestre</t>
        </is>
      </c>
      <c r="C587" t="inlineStr">
        <is>
          <t>E.T. the Extra-Terrestrial</t>
        </is>
      </c>
      <c r="D587" s="4" t="n">
        <v>1982</v>
      </c>
      <c r="E587" s="4">
        <f>IF(D587="","",FLOOR(D587,10))</f>
        <v/>
      </c>
      <c r="F587" s="22" t="n">
        <v>115</v>
      </c>
      <c r="G587" s="23" t="n">
        <v>7.6</v>
      </c>
      <c r="H587" t="inlineStr">
        <is>
          <t>Steven Spielberg</t>
        </is>
      </c>
      <c r="I587" t="inlineStr">
        <is>
          <t>Estados Unidos</t>
        </is>
      </c>
      <c r="J587" t="inlineStr">
        <is>
          <t>Ciencia ficción, Familiar, Aventura</t>
        </is>
      </c>
      <c r="M587" s="6" t="n"/>
      <c r="O587" s="24" t="inlineStr"/>
      <c r="Q587" s="25" t="n">
        <v>11835389</v>
      </c>
      <c r="R587" s="25" t="n">
        <v>439454989</v>
      </c>
      <c r="S587" s="25" t="n"/>
      <c r="T587" s="25">
        <f>IF(AND(R587="",S587=""),"",N(R587)+N(S587))</f>
        <v/>
      </c>
      <c r="U587" s="25" t="n"/>
      <c r="V587" s="26" t="inlineStr">
        <is>
          <t>IMDb</t>
        </is>
      </c>
      <c r="W587" s="26" t="inlineStr">
        <is>
          <t>FilmAffinity</t>
        </is>
      </c>
      <c r="X587" s="26" t="inlineStr">
        <is>
          <t>Letterboxd</t>
        </is>
      </c>
    </row>
    <row r="588">
      <c r="A588" t="inlineStr">
        <is>
          <t>p0587</t>
        </is>
      </c>
      <c r="B588" t="inlineStr">
        <is>
          <t>Indiana Jones: En Busca del Arca Perdida</t>
        </is>
      </c>
      <c r="C588" t="inlineStr">
        <is>
          <t>Raiders of the Lost Ark</t>
        </is>
      </c>
      <c r="D588" s="4" t="n">
        <v>1981</v>
      </c>
      <c r="E588" s="4">
        <f>IF(D588="","",FLOOR(D588,10))</f>
        <v/>
      </c>
      <c r="F588" s="22" t="n">
        <v>115</v>
      </c>
      <c r="G588" s="23" t="n">
        <v>8.300000000000001</v>
      </c>
      <c r="H588" t="inlineStr">
        <is>
          <t>Steven Spielberg</t>
        </is>
      </c>
      <c r="I588" t="inlineStr">
        <is>
          <t>Estados Unidos</t>
        </is>
      </c>
      <c r="J588" t="inlineStr">
        <is>
          <t>Aventura, Acción</t>
        </is>
      </c>
      <c r="M588" s="6" t="n"/>
      <c r="O588" s="24" t="inlineStr"/>
      <c r="Q588" s="25" t="n">
        <v>8305823</v>
      </c>
      <c r="R588" s="25" t="n">
        <v>248159971</v>
      </c>
      <c r="S588" s="25" t="n"/>
      <c r="T588" s="25">
        <f>IF(AND(R588="",S588=""),"",N(R588)+N(S588))</f>
        <v/>
      </c>
      <c r="U588" s="25" t="n"/>
      <c r="V588" s="26" t="inlineStr">
        <is>
          <t>IMDb</t>
        </is>
      </c>
      <c r="W588" s="26" t="inlineStr">
        <is>
          <t>FilmAffinity</t>
        </is>
      </c>
      <c r="X588" s="26" t="inlineStr">
        <is>
          <t>Letterboxd</t>
        </is>
      </c>
    </row>
    <row r="589">
      <c r="A589" t="inlineStr">
        <is>
          <t>p0588</t>
        </is>
      </c>
      <c r="B589" t="inlineStr">
        <is>
          <t>El resplandor</t>
        </is>
      </c>
      <c r="C589" t="inlineStr">
        <is>
          <t>The Shining</t>
        </is>
      </c>
      <c r="D589" s="4" t="n">
        <v>1980</v>
      </c>
      <c r="E589" s="4">
        <f>IF(D589="","",FLOOR(D589,10))</f>
        <v/>
      </c>
      <c r="F589" s="22" t="n">
        <v>146</v>
      </c>
      <c r="G589" s="23" t="n">
        <v>9.300000000000001</v>
      </c>
      <c r="H589" t="inlineStr">
        <is>
          <t>Stanley Kubrick</t>
        </is>
      </c>
      <c r="I589" t="inlineStr">
        <is>
          <t>Reino Unido</t>
        </is>
      </c>
      <c r="J589" t="inlineStr">
        <is>
          <t>Terror, Thriller</t>
        </is>
      </c>
      <c r="M589" s="6" t="n"/>
      <c r="O589" s="24" t="inlineStr"/>
      <c r="Q589" s="25" t="n">
        <v>622337</v>
      </c>
      <c r="R589" s="25" t="n">
        <v>47194352</v>
      </c>
      <c r="S589" s="25" t="n"/>
      <c r="T589" s="25">
        <f>IF(AND(R589="",S589=""),"",N(R589)+N(S589))</f>
        <v/>
      </c>
      <c r="U589" s="25" t="n"/>
      <c r="V589" s="26" t="inlineStr">
        <is>
          <t>IMDb</t>
        </is>
      </c>
      <c r="W589" s="26" t="inlineStr">
        <is>
          <t>FilmAffinity</t>
        </is>
      </c>
      <c r="X589" s="26" t="inlineStr">
        <is>
          <t>Letterboxd</t>
        </is>
      </c>
    </row>
    <row r="590">
      <c r="A590" t="inlineStr">
        <is>
          <t>p0589</t>
        </is>
      </c>
      <c r="B590" t="inlineStr">
        <is>
          <t>Star Wars Episodio V: El Imperio Contraataca</t>
        </is>
      </c>
      <c r="C590" t="inlineStr">
        <is>
          <t>The Empire Strikes Back</t>
        </is>
      </c>
      <c r="D590" s="4" t="n">
        <v>1980</v>
      </c>
      <c r="E590" s="4">
        <f>IF(D590="","",FLOOR(D590,10))</f>
        <v/>
      </c>
      <c r="F590" s="22" t="n">
        <v>124</v>
      </c>
      <c r="G590" s="23" t="n">
        <v>9.199999999999999</v>
      </c>
      <c r="H590" t="inlineStr">
        <is>
          <t>George Lucas</t>
        </is>
      </c>
      <c r="I590" t="inlineStr">
        <is>
          <t>Estados Unidos</t>
        </is>
      </c>
      <c r="J590" t="inlineStr">
        <is>
          <t>Ciencia ficción, Aventura, Acción</t>
        </is>
      </c>
      <c r="K590" t="inlineStr">
        <is>
          <t>Star Wars</t>
        </is>
      </c>
      <c r="M590" s="6" t="n"/>
      <c r="O590" s="24" t="inlineStr"/>
      <c r="Q590" s="25" t="n">
        <v>4910483</v>
      </c>
      <c r="R590" s="25" t="n">
        <v>292753960</v>
      </c>
      <c r="S590" s="25" t="n"/>
      <c r="T590" s="25">
        <f>IF(AND(R590="",S590=""),"",N(R590)+N(S590))</f>
        <v/>
      </c>
      <c r="U590" s="25" t="n"/>
      <c r="V590" s="26" t="inlineStr">
        <is>
          <t>IMDb</t>
        </is>
      </c>
      <c r="W590" s="26" t="inlineStr">
        <is>
          <t>FilmAffinity</t>
        </is>
      </c>
      <c r="X590" s="26" t="inlineStr">
        <is>
          <t>Letterboxd</t>
        </is>
      </c>
    </row>
    <row r="591">
      <c r="A591" t="inlineStr">
        <is>
          <t>p0590</t>
        </is>
      </c>
      <c r="B591" t="inlineStr">
        <is>
          <t>Toro salvaje</t>
        </is>
      </c>
      <c r="C591" t="inlineStr">
        <is>
          <t>Raging Bull</t>
        </is>
      </c>
      <c r="D591" s="4" t="n">
        <v>1980</v>
      </c>
      <c r="E591" s="4">
        <f>IF(D591="","",FLOOR(D591,10))</f>
        <v/>
      </c>
      <c r="F591" s="22" t="n">
        <v>124</v>
      </c>
      <c r="G591" s="23" t="n">
        <v>8.1</v>
      </c>
      <c r="H591" t="inlineStr">
        <is>
          <t>Martin Scorsese</t>
        </is>
      </c>
      <c r="I591" t="inlineStr">
        <is>
          <t>Estados Unidos</t>
        </is>
      </c>
      <c r="J591" t="inlineStr">
        <is>
          <t>Drama, Biográfico</t>
        </is>
      </c>
      <c r="M591" s="6" t="n"/>
      <c r="O591" s="24" t="inlineStr"/>
      <c r="Q591" s="25" t="n">
        <v>12859</v>
      </c>
      <c r="R591" s="25" t="n">
        <v>23383987</v>
      </c>
      <c r="S591" s="25" t="n"/>
      <c r="T591" s="25">
        <f>IF(AND(R591="",S591=""),"",N(R591)+N(S591))</f>
        <v/>
      </c>
      <c r="U591" s="25" t="n"/>
      <c r="V591" s="26" t="inlineStr">
        <is>
          <t>IMDb</t>
        </is>
      </c>
      <c r="W591" s="26" t="inlineStr">
        <is>
          <t>FilmAffinity</t>
        </is>
      </c>
      <c r="X591" s="26" t="inlineStr">
        <is>
          <t>Letterboxd</t>
        </is>
      </c>
    </row>
    <row r="592">
      <c r="A592" t="inlineStr">
        <is>
          <t>p0591</t>
        </is>
      </c>
      <c r="B592" t="inlineStr">
        <is>
          <t>Kramer Contra Kramer</t>
        </is>
      </c>
      <c r="C592" t="inlineStr">
        <is>
          <t>Kramer vs. Kramer</t>
        </is>
      </c>
      <c r="D592" s="4" t="n">
        <v>1979</v>
      </c>
      <c r="E592" s="4">
        <f>IF(D592="","",FLOOR(D592,10))</f>
        <v/>
      </c>
      <c r="F592" s="22" t="n">
        <v>104</v>
      </c>
      <c r="G592" s="23" t="n">
        <v>8.9</v>
      </c>
      <c r="H592" t="inlineStr">
        <is>
          <t>Robert Benton</t>
        </is>
      </c>
      <c r="I592" t="inlineStr">
        <is>
          <t>Estados Unidos</t>
        </is>
      </c>
      <c r="J592" t="inlineStr">
        <is>
          <t>Drama</t>
        </is>
      </c>
      <c r="M592" s="6" t="n"/>
      <c r="O592" s="24" t="inlineStr"/>
      <c r="Q592" s="25" t="n"/>
      <c r="R592" s="25" t="n">
        <v>106260000</v>
      </c>
      <c r="S592" s="25" t="n"/>
      <c r="T592" s="25">
        <f>IF(AND(R592="",S592=""),"",N(R592)+N(S592))</f>
        <v/>
      </c>
      <c r="U592" s="25" t="n"/>
      <c r="V592" s="26" t="inlineStr">
        <is>
          <t>IMDb</t>
        </is>
      </c>
      <c r="W592" s="26" t="inlineStr">
        <is>
          <t>FilmAffinity</t>
        </is>
      </c>
      <c r="X592" s="26" t="inlineStr">
        <is>
          <t>Letterboxd</t>
        </is>
      </c>
    </row>
    <row r="593">
      <c r="A593" t="inlineStr">
        <is>
          <t>p0592</t>
        </is>
      </c>
      <c r="B593" t="inlineStr">
        <is>
          <t>Alien, el octavo pasajero</t>
        </is>
      </c>
      <c r="C593" t="inlineStr">
        <is>
          <t>Alien</t>
        </is>
      </c>
      <c r="D593" s="4" t="n">
        <v>1979</v>
      </c>
      <c r="E593" s="4">
        <f>IF(D593="","",FLOOR(D593,10))</f>
        <v/>
      </c>
      <c r="F593" s="22" t="n">
        <v>116</v>
      </c>
      <c r="G593" s="23" t="n">
        <v>8.699999999999999</v>
      </c>
      <c r="H593" t="inlineStr">
        <is>
          <t>Ridley Scott</t>
        </is>
      </c>
      <c r="I593" t="inlineStr">
        <is>
          <t>Estados Unidos</t>
        </is>
      </c>
      <c r="J593" t="inlineStr">
        <is>
          <t>Ciencia ficción, Terror</t>
        </is>
      </c>
      <c r="K593" t="inlineStr">
        <is>
          <t>Alien</t>
        </is>
      </c>
      <c r="M593" s="6" t="n"/>
      <c r="O593" s="24" t="inlineStr"/>
      <c r="Q593" s="25" t="n">
        <v>3527881</v>
      </c>
      <c r="R593" s="25" t="n">
        <v>84206106</v>
      </c>
      <c r="S593" s="25" t="n"/>
      <c r="T593" s="25">
        <f>IF(AND(R593="",S593=""),"",N(R593)+N(S593))</f>
        <v/>
      </c>
      <c r="U593" s="25" t="n"/>
      <c r="V593" s="26" t="inlineStr">
        <is>
          <t>IMDb</t>
        </is>
      </c>
      <c r="W593" s="26" t="inlineStr">
        <is>
          <t>FilmAffinity</t>
        </is>
      </c>
      <c r="X593" s="26" t="inlineStr">
        <is>
          <t>Letterboxd</t>
        </is>
      </c>
    </row>
    <row r="594">
      <c r="A594" t="inlineStr">
        <is>
          <t>p0593</t>
        </is>
      </c>
      <c r="B594" t="inlineStr">
        <is>
          <t>Apocalypse Now</t>
        </is>
      </c>
      <c r="C594" t="inlineStr">
        <is>
          <t>Apocalypse Now</t>
        </is>
      </c>
      <c r="D594" s="4" t="n">
        <v>1979</v>
      </c>
      <c r="E594" s="4">
        <f>IF(D594="","",FLOOR(D594,10))</f>
        <v/>
      </c>
      <c r="F594" s="22" t="n">
        <v>153</v>
      </c>
      <c r="G594" s="23" t="n">
        <v>8.300000000000001</v>
      </c>
      <c r="H594" t="inlineStr">
        <is>
          <t>Francis Ford Coppola</t>
        </is>
      </c>
      <c r="I594" t="inlineStr">
        <is>
          <t>Estados Unidos</t>
        </is>
      </c>
      <c r="J594" t="inlineStr">
        <is>
          <t>Bélico, Drama</t>
        </is>
      </c>
      <c r="M594" s="6" t="n"/>
      <c r="O594" s="24" t="inlineStr"/>
      <c r="Q594" s="25" t="n">
        <v>118558</v>
      </c>
      <c r="R594" s="25" t="n">
        <v>96074376</v>
      </c>
      <c r="S594" s="25" t="n"/>
      <c r="T594" s="25">
        <f>IF(AND(R594="",S594=""),"",N(R594)+N(S594))</f>
        <v/>
      </c>
      <c r="U594" s="25" t="n"/>
      <c r="V594" s="26" t="inlineStr">
        <is>
          <t>IMDb</t>
        </is>
      </c>
      <c r="W594" s="26" t="inlineStr">
        <is>
          <t>FilmAffinity</t>
        </is>
      </c>
      <c r="X594" s="26" t="inlineStr">
        <is>
          <t>Letterboxd</t>
        </is>
      </c>
    </row>
    <row r="595">
      <c r="A595" t="inlineStr">
        <is>
          <t>p0594</t>
        </is>
      </c>
      <c r="B595" t="inlineStr">
        <is>
          <t>The Warriors</t>
        </is>
      </c>
      <c r="C595" t="inlineStr">
        <is>
          <t>The Warriors</t>
        </is>
      </c>
      <c r="D595" s="4" t="n">
        <v>1979</v>
      </c>
      <c r="E595" s="4">
        <f>IF(D595="","",FLOOR(D595,10))</f>
        <v/>
      </c>
      <c r="F595" s="22" t="n">
        <v>94</v>
      </c>
      <c r="G595" s="23" t="n">
        <v>7.5</v>
      </c>
      <c r="H595" t="inlineStr">
        <is>
          <t>Walter Hill</t>
        </is>
      </c>
      <c r="I595" t="inlineStr">
        <is>
          <t>Estados Unidos</t>
        </is>
      </c>
      <c r="J595" t="inlineStr">
        <is>
          <t>Acción, Crimen, Thriller</t>
        </is>
      </c>
      <c r="M595" s="6" t="n"/>
      <c r="O595" s="24" t="inlineStr"/>
      <c r="Q595" s="25" t="n">
        <v>3529675</v>
      </c>
      <c r="R595" s="25" t="n">
        <v>22490039</v>
      </c>
      <c r="S595" s="25" t="n"/>
      <c r="T595" s="25">
        <f>IF(AND(R595="",S595=""),"",N(R595)+N(S595))</f>
        <v/>
      </c>
      <c r="U595" s="25" t="n"/>
      <c r="V595" s="26" t="inlineStr">
        <is>
          <t>IMDb</t>
        </is>
      </c>
      <c r="W595" s="26" t="inlineStr">
        <is>
          <t>FilmAffinity</t>
        </is>
      </c>
      <c r="X595" s="26" t="inlineStr">
        <is>
          <t>Letterboxd</t>
        </is>
      </c>
    </row>
    <row r="596">
      <c r="A596" t="inlineStr">
        <is>
          <t>p0595</t>
        </is>
      </c>
      <c r="B596" t="inlineStr">
        <is>
          <t>Grease</t>
        </is>
      </c>
      <c r="C596" t="inlineStr">
        <is>
          <t>Grease</t>
        </is>
      </c>
      <c r="D596" s="4" t="n">
        <v>1978</v>
      </c>
      <c r="E596" s="4">
        <f>IF(D596="","",FLOOR(D596,10))</f>
        <v/>
      </c>
      <c r="F596" s="22" t="n">
        <v>110</v>
      </c>
      <c r="G596" s="23" t="n">
        <v>7.4</v>
      </c>
      <c r="H596" t="inlineStr">
        <is>
          <t>Randal Kleiser</t>
        </is>
      </c>
      <c r="I596" t="inlineStr">
        <is>
          <t>Estados Unidos</t>
        </is>
      </c>
      <c r="J596" t="inlineStr">
        <is>
          <t>Musical, Romance, Comedia</t>
        </is>
      </c>
      <c r="M596" s="6" t="n"/>
      <c r="O596" s="24" t="inlineStr"/>
      <c r="Q596" s="25" t="n">
        <v>8941717</v>
      </c>
      <c r="R596" s="25" t="n">
        <v>190071103</v>
      </c>
      <c r="S596" s="25" t="n"/>
      <c r="T596" s="25">
        <f>IF(AND(R596="",S596=""),"",N(R596)+N(S596))</f>
        <v/>
      </c>
      <c r="U596" s="25" t="n"/>
      <c r="V596" s="26" t="inlineStr">
        <is>
          <t>IMDb</t>
        </is>
      </c>
      <c r="W596" s="26" t="inlineStr">
        <is>
          <t>FilmAffinity</t>
        </is>
      </c>
      <c r="X596" s="26" t="inlineStr">
        <is>
          <t>Letterboxd</t>
        </is>
      </c>
    </row>
    <row r="597">
      <c r="A597" t="inlineStr">
        <is>
          <t>p0596</t>
        </is>
      </c>
      <c r="B597" t="inlineStr">
        <is>
          <t>Star Wars Episodio IV: Una Nueva Esperanza</t>
        </is>
      </c>
      <c r="C597" t="inlineStr">
        <is>
          <t>Star Wars</t>
        </is>
      </c>
      <c r="D597" s="4" t="n">
        <v>1977</v>
      </c>
      <c r="E597" s="4">
        <f>IF(D597="","",FLOOR(D597,10))</f>
        <v/>
      </c>
      <c r="F597" s="22" t="n">
        <v>121</v>
      </c>
      <c r="G597" s="23" t="n">
        <v>9.1</v>
      </c>
      <c r="H597" t="inlineStr">
        <is>
          <t>George Lucas</t>
        </is>
      </c>
      <c r="I597" t="inlineStr">
        <is>
          <t>Estados Unidos</t>
        </is>
      </c>
      <c r="J597" t="inlineStr">
        <is>
          <t>Ciencia ficción, Aventura, Acción</t>
        </is>
      </c>
      <c r="K597" t="inlineStr">
        <is>
          <t>Star Wars</t>
        </is>
      </c>
      <c r="M597" s="6" t="n"/>
      <c r="O597" s="24" t="inlineStr"/>
      <c r="Q597" s="25" t="n">
        <v>1554475</v>
      </c>
      <c r="R597" s="25" t="n">
        <v>460998507</v>
      </c>
      <c r="S597" s="25" t="n"/>
      <c r="T597" s="25">
        <f>IF(AND(R597="",S597=""),"",N(R597)+N(S597))</f>
        <v/>
      </c>
      <c r="U597" s="25" t="n"/>
      <c r="V597" s="26" t="inlineStr">
        <is>
          <t>IMDb</t>
        </is>
      </c>
      <c r="W597" s="26" t="inlineStr">
        <is>
          <t>FilmAffinity</t>
        </is>
      </c>
      <c r="X597" s="26" t="inlineStr">
        <is>
          <t>Letterboxd</t>
        </is>
      </c>
    </row>
    <row r="598">
      <c r="A598" t="inlineStr">
        <is>
          <t>p0597</t>
        </is>
      </c>
      <c r="B598" t="inlineStr">
        <is>
          <t>Fiebre del Sábado Noche</t>
        </is>
      </c>
      <c r="C598" t="inlineStr">
        <is>
          <t>Saturday Night Fever</t>
        </is>
      </c>
      <c r="D598" s="4" t="n">
        <v>1977</v>
      </c>
      <c r="E598" s="4">
        <f>IF(D598="","",FLOOR(D598,10))</f>
        <v/>
      </c>
      <c r="F598" s="22" t="n">
        <v>119</v>
      </c>
      <c r="G598" s="23" t="n">
        <v>7.6</v>
      </c>
      <c r="H598" t="inlineStr">
        <is>
          <t>John Badham</t>
        </is>
      </c>
      <c r="I598" t="inlineStr">
        <is>
          <t>Estados Unidos</t>
        </is>
      </c>
      <c r="J598" t="inlineStr">
        <is>
          <t>Musical, Drama</t>
        </is>
      </c>
      <c r="M598" s="6" t="n"/>
      <c r="O598" s="24" t="inlineStr"/>
      <c r="Q598" s="25" t="n">
        <v>3878099</v>
      </c>
      <c r="R598" s="25" t="n">
        <v>94213184</v>
      </c>
      <c r="S598" s="25" t="n"/>
      <c r="T598" s="25">
        <f>IF(AND(R598="",S598=""),"",N(R598)+N(S598))</f>
        <v/>
      </c>
      <c r="U598" s="25" t="n"/>
      <c r="V598" s="26" t="inlineStr">
        <is>
          <t>IMDb</t>
        </is>
      </c>
      <c r="W598" s="26" t="inlineStr">
        <is>
          <t>FilmAffinity</t>
        </is>
      </c>
      <c r="X598" s="26" t="inlineStr">
        <is>
          <t>Letterboxd</t>
        </is>
      </c>
    </row>
    <row r="599">
      <c r="A599" t="inlineStr">
        <is>
          <t>p0598</t>
        </is>
      </c>
      <c r="B599" t="inlineStr">
        <is>
          <t>Taxi Driver</t>
        </is>
      </c>
      <c r="C599" t="inlineStr">
        <is>
          <t>Taxi Driver</t>
        </is>
      </c>
      <c r="D599" s="4" t="n">
        <v>1976</v>
      </c>
      <c r="E599" s="4">
        <f>IF(D599="","",FLOOR(D599,10))</f>
        <v/>
      </c>
      <c r="F599" s="22" t="n">
        <v>113</v>
      </c>
      <c r="G599" s="23" t="n">
        <v>8.699999999999999</v>
      </c>
      <c r="H599" t="inlineStr">
        <is>
          <t>Martin Scorsese</t>
        </is>
      </c>
      <c r="I599" t="inlineStr">
        <is>
          <t>Estados Unidos</t>
        </is>
      </c>
      <c r="J599" t="inlineStr">
        <is>
          <t>Drama, Crimen, Thriller</t>
        </is>
      </c>
      <c r="M599" s="6" t="n"/>
      <c r="O599" s="24" t="inlineStr"/>
      <c r="Q599" s="25" t="n"/>
      <c r="R599" s="25" t="n">
        <v>28262574</v>
      </c>
      <c r="S599" s="25" t="n"/>
      <c r="T599" s="25">
        <f>IF(AND(R599="",S599=""),"",N(R599)+N(S599))</f>
        <v/>
      </c>
      <c r="U599" s="25" t="n"/>
      <c r="V599" s="26" t="inlineStr">
        <is>
          <t>IMDb</t>
        </is>
      </c>
      <c r="W599" s="26" t="inlineStr">
        <is>
          <t>FilmAffinity</t>
        </is>
      </c>
      <c r="X599" s="26" t="inlineStr">
        <is>
          <t>Letterboxd</t>
        </is>
      </c>
    </row>
    <row r="600">
      <c r="A600" t="inlineStr">
        <is>
          <t>p0599</t>
        </is>
      </c>
      <c r="B600" t="inlineStr">
        <is>
          <t>¿Quién puede matar a un niño?</t>
        </is>
      </c>
      <c r="C600" t="inlineStr">
        <is>
          <t>¿Quién puede matar a un niño?</t>
        </is>
      </c>
      <c r="D600" s="4" t="n">
        <v>1976</v>
      </c>
      <c r="E600" s="4">
        <f>IF(D600="","",FLOOR(D600,10))</f>
        <v/>
      </c>
      <c r="F600" s="22" t="n">
        <v>100</v>
      </c>
      <c r="G600" s="23" t="n">
        <v>8.5</v>
      </c>
      <c r="H600" t="inlineStr">
        <is>
          <t>Narciso Ibáñez Serrador</t>
        </is>
      </c>
      <c r="I600" t="inlineStr">
        <is>
          <t>España</t>
        </is>
      </c>
      <c r="J600" t="inlineStr">
        <is>
          <t>Terror</t>
        </is>
      </c>
      <c r="M600" s="6" t="n"/>
      <c r="O600" s="24" t="inlineStr"/>
      <c r="Q600" s="25" t="n"/>
      <c r="R600" s="25" t="n"/>
      <c r="S600" s="25" t="n"/>
      <c r="T600" s="25">
        <f>IF(AND(R600="",S600=""),"",N(R600)+N(S600))</f>
        <v/>
      </c>
      <c r="U600" s="25" t="n"/>
      <c r="V600" s="26" t="inlineStr">
        <is>
          <t>IMDb</t>
        </is>
      </c>
      <c r="W600" s="26" t="inlineStr">
        <is>
          <t>FilmAffinity</t>
        </is>
      </c>
      <c r="X600" s="26" t="inlineStr">
        <is>
          <t>Letterboxd</t>
        </is>
      </c>
    </row>
    <row r="601">
      <c r="A601" t="inlineStr">
        <is>
          <t>p0600</t>
        </is>
      </c>
      <c r="B601" t="inlineStr">
        <is>
          <t>Rocky</t>
        </is>
      </c>
      <c r="C601" t="inlineStr">
        <is>
          <t>Rocky</t>
        </is>
      </c>
      <c r="D601" s="4" t="n">
        <v>1976</v>
      </c>
      <c r="E601" s="4">
        <f>IF(D601="","",FLOOR(D601,10))</f>
        <v/>
      </c>
      <c r="F601" s="22" t="n">
        <v>119</v>
      </c>
      <c r="G601" s="23" t="n">
        <v>7.7</v>
      </c>
      <c r="H601" t="inlineStr">
        <is>
          <t>John G. Avildsen</t>
        </is>
      </c>
      <c r="I601" t="inlineStr">
        <is>
          <t>Estados Unidos</t>
        </is>
      </c>
      <c r="J601" t="inlineStr">
        <is>
          <t>Drama</t>
        </is>
      </c>
      <c r="K601" t="inlineStr">
        <is>
          <t>Rocky / Creed</t>
        </is>
      </c>
      <c r="M601" s="6" t="n"/>
      <c r="O601" s="24" t="inlineStr"/>
      <c r="Q601" s="25" t="n"/>
      <c r="R601" s="25" t="n">
        <v>117235147</v>
      </c>
      <c r="S601" s="25" t="n"/>
      <c r="T601" s="25">
        <f>IF(AND(R601="",S601=""),"",N(R601)+N(S601))</f>
        <v/>
      </c>
      <c r="U601" s="25" t="n"/>
      <c r="V601" s="26" t="inlineStr">
        <is>
          <t>IMDb</t>
        </is>
      </c>
      <c r="W601" s="26" t="inlineStr">
        <is>
          <t>FilmAffinity</t>
        </is>
      </c>
      <c r="X601" s="26" t="inlineStr">
        <is>
          <t>Letterboxd</t>
        </is>
      </c>
    </row>
    <row r="602">
      <c r="A602" t="inlineStr">
        <is>
          <t>p0601</t>
        </is>
      </c>
      <c r="B602" t="inlineStr">
        <is>
          <t>Carrie</t>
        </is>
      </c>
      <c r="C602" t="inlineStr">
        <is>
          <t>Carrie</t>
        </is>
      </c>
      <c r="D602" s="4" t="n">
        <v>1976</v>
      </c>
      <c r="E602" s="4">
        <f>IF(D602="","",FLOOR(D602,10))</f>
        <v/>
      </c>
      <c r="F602" s="22" t="n">
        <v>97</v>
      </c>
      <c r="G602" s="23" t="n">
        <v>7.6</v>
      </c>
      <c r="H602" t="inlineStr">
        <is>
          <t>Brian De Palma</t>
        </is>
      </c>
      <c r="I602" t="inlineStr">
        <is>
          <t>Estados Unidos</t>
        </is>
      </c>
      <c r="J602" t="inlineStr">
        <is>
          <t>Terror</t>
        </is>
      </c>
      <c r="M602" s="6" t="n"/>
      <c r="O602" s="24" t="inlineStr"/>
      <c r="Q602" s="25" t="n"/>
      <c r="R602" s="25" t="n">
        <v>33800000</v>
      </c>
      <c r="S602" s="25" t="n"/>
      <c r="T602" s="25">
        <f>IF(AND(R602="",S602=""),"",N(R602)+N(S602))</f>
        <v/>
      </c>
      <c r="U602" s="25" t="n"/>
      <c r="V602" s="26" t="inlineStr">
        <is>
          <t>IMDb</t>
        </is>
      </c>
      <c r="W602" s="26" t="inlineStr">
        <is>
          <t>FilmAffinity</t>
        </is>
      </c>
      <c r="X602" s="26" t="inlineStr">
        <is>
          <t>Letterboxd</t>
        </is>
      </c>
    </row>
    <row r="603">
      <c r="A603" t="inlineStr">
        <is>
          <t>p0602</t>
        </is>
      </c>
      <c r="B603" t="inlineStr">
        <is>
          <t>Tiburón</t>
        </is>
      </c>
      <c r="C603" t="inlineStr">
        <is>
          <t>Jaws</t>
        </is>
      </c>
      <c r="D603" s="4" t="n">
        <v>1975</v>
      </c>
      <c r="E603" s="4">
        <f>IF(D603="","",FLOOR(D603,10))</f>
        <v/>
      </c>
      <c r="F603" s="22" t="n">
        <v>124</v>
      </c>
      <c r="G603" s="23" t="n">
        <v>8.300000000000001</v>
      </c>
      <c r="H603" t="inlineStr">
        <is>
          <t>Steven Spielberg</t>
        </is>
      </c>
      <c r="I603" t="inlineStr">
        <is>
          <t>Estados Unidos</t>
        </is>
      </c>
      <c r="J603" t="inlineStr">
        <is>
          <t>Thriller, Aventura, Terror</t>
        </is>
      </c>
      <c r="M603" s="6" t="n"/>
      <c r="O603" s="24" t="inlineStr"/>
      <c r="Q603" s="25" t="n"/>
      <c r="R603" s="25" t="n">
        <v>280083300</v>
      </c>
      <c r="S603" s="25" t="n"/>
      <c r="T603" s="25">
        <f>IF(AND(R603="",S603=""),"",N(R603)+N(S603))</f>
        <v/>
      </c>
      <c r="U603" s="25" t="n"/>
      <c r="V603" s="26" t="inlineStr">
        <is>
          <t>IMDb</t>
        </is>
      </c>
      <c r="W603" s="26" t="inlineStr">
        <is>
          <t>FilmAffinity</t>
        </is>
      </c>
      <c r="X603" s="26" t="inlineStr">
        <is>
          <t>Letterboxd</t>
        </is>
      </c>
    </row>
    <row r="604">
      <c r="A604" t="inlineStr">
        <is>
          <t>p0603</t>
        </is>
      </c>
      <c r="B604" t="inlineStr">
        <is>
          <t>Alguien voló sobre el nido del cuco</t>
        </is>
      </c>
      <c r="C604" t="inlineStr">
        <is>
          <t>One Flew Over the Cuckoo's Nest</t>
        </is>
      </c>
      <c r="D604" s="4" t="n">
        <v>1975</v>
      </c>
      <c r="E604" s="4">
        <f>IF(D604="","",FLOOR(D604,10))</f>
        <v/>
      </c>
      <c r="F604" s="22" t="n">
        <v>133</v>
      </c>
      <c r="G604" s="23" t="n">
        <v>8.199999999999999</v>
      </c>
      <c r="H604" t="inlineStr">
        <is>
          <t>Milos Forman</t>
        </is>
      </c>
      <c r="I604" t="inlineStr">
        <is>
          <t>Estados Unidos</t>
        </is>
      </c>
      <c r="J604" t="inlineStr">
        <is>
          <t>Drama</t>
        </is>
      </c>
      <c r="M604" s="6" t="n"/>
      <c r="O604" s="24" t="inlineStr"/>
      <c r="Q604" s="25" t="n"/>
      <c r="R604" s="25" t="n">
        <v>108981275</v>
      </c>
      <c r="S604" s="25" t="n"/>
      <c r="T604" s="25">
        <f>IF(AND(R604="",S604=""),"",N(R604)+N(S604))</f>
        <v/>
      </c>
      <c r="U604" s="25" t="n"/>
      <c r="V604" s="26" t="inlineStr">
        <is>
          <t>IMDb</t>
        </is>
      </c>
      <c r="W604" s="26" t="inlineStr">
        <is>
          <t>FilmAffinity</t>
        </is>
      </c>
      <c r="X604" s="26" t="inlineStr">
        <is>
          <t>Letterboxd</t>
        </is>
      </c>
    </row>
    <row r="605">
      <c r="A605" t="inlineStr">
        <is>
          <t>p0604</t>
        </is>
      </c>
      <c r="B605" t="inlineStr">
        <is>
          <t>Los Caballeros de la Mesa Cuadrada y sus Locos Seguidores</t>
        </is>
      </c>
      <c r="C605" t="inlineStr">
        <is>
          <t>Monty Python and the Holy Grail</t>
        </is>
      </c>
      <c r="D605" s="4" t="n">
        <v>1975</v>
      </c>
      <c r="E605" s="4">
        <f>IF(D605="","",FLOOR(D605,10))</f>
        <v/>
      </c>
      <c r="F605" s="22" t="n">
        <v>90</v>
      </c>
      <c r="G605" s="23" t="n">
        <v>7</v>
      </c>
      <c r="H605" t="inlineStr">
        <is>
          <t>Terry Jones / Terry Gilliam</t>
        </is>
      </c>
      <c r="I605" t="inlineStr">
        <is>
          <t>Reino Unido</t>
        </is>
      </c>
      <c r="J605" t="inlineStr">
        <is>
          <t>Comedia, Aventura, Fantasía</t>
        </is>
      </c>
      <c r="M605" s="6" t="n"/>
      <c r="O605" s="24" t="inlineStr"/>
      <c r="Q605" s="25" t="n"/>
      <c r="R605" s="25" t="n"/>
      <c r="S605" s="25" t="n"/>
      <c r="T605" s="25">
        <f>IF(AND(R605="",S605=""),"",N(R605)+N(S605))</f>
        <v/>
      </c>
      <c r="U605" s="25" t="n"/>
      <c r="V605" s="26" t="inlineStr">
        <is>
          <t>IMDb</t>
        </is>
      </c>
      <c r="W605" s="26" t="inlineStr">
        <is>
          <t>FilmAffinity</t>
        </is>
      </c>
      <c r="X605" s="26" t="inlineStr">
        <is>
          <t>Letterboxd</t>
        </is>
      </c>
    </row>
    <row r="606">
      <c r="A606" t="inlineStr">
        <is>
          <t>p0605</t>
        </is>
      </c>
      <c r="B606" t="inlineStr">
        <is>
          <t>El Padrino Parte II</t>
        </is>
      </c>
      <c r="C606" t="inlineStr">
        <is>
          <t>The Godfather Part II</t>
        </is>
      </c>
      <c r="D606" s="4" t="n">
        <v>1974</v>
      </c>
      <c r="E606" s="4">
        <f>IF(D606="","",FLOOR(D606,10))</f>
        <v/>
      </c>
      <c r="F606" s="22" t="n">
        <v>200</v>
      </c>
      <c r="G606" s="23" t="n">
        <v>10</v>
      </c>
      <c r="H606" t="inlineStr">
        <is>
          <t>Francis Ford Coppola</t>
        </is>
      </c>
      <c r="I606" t="inlineStr">
        <is>
          <t>Estados Unidos</t>
        </is>
      </c>
      <c r="J606" t="inlineStr">
        <is>
          <t>Crimen, Drama</t>
        </is>
      </c>
      <c r="K606" t="inlineStr">
        <is>
          <t>El Padrino</t>
        </is>
      </c>
      <c r="M606" s="6" t="n"/>
      <c r="O606" s="24" t="inlineStr"/>
      <c r="Q606" s="25" t="n"/>
      <c r="R606" s="25" t="n">
        <v>47834595</v>
      </c>
      <c r="S606" s="25" t="n"/>
      <c r="T606" s="25">
        <f>IF(AND(R606="",S606=""),"",N(R606)+N(S606))</f>
        <v/>
      </c>
      <c r="U606" s="25" t="n"/>
      <c r="V606" s="26" t="inlineStr">
        <is>
          <t>IMDb</t>
        </is>
      </c>
      <c r="W606" s="26" t="inlineStr">
        <is>
          <t>FilmAffinity</t>
        </is>
      </c>
      <c r="X606" s="26" t="inlineStr">
        <is>
          <t>Letterboxd</t>
        </is>
      </c>
    </row>
    <row r="607">
      <c r="A607" t="inlineStr">
        <is>
          <t>p0606</t>
        </is>
      </c>
      <c r="B607" t="inlineStr">
        <is>
          <t>El golpe</t>
        </is>
      </c>
      <c r="C607" t="inlineStr">
        <is>
          <t>The Sting</t>
        </is>
      </c>
      <c r="D607" s="4" t="n">
        <v>1973</v>
      </c>
      <c r="E607" s="4">
        <f>IF(D607="","",FLOOR(D607,10))</f>
        <v/>
      </c>
      <c r="F607" s="22" t="n">
        <v>129</v>
      </c>
      <c r="G607" s="23" t="n">
        <v>9.6</v>
      </c>
      <c r="H607" t="inlineStr">
        <is>
          <t>George Roy Hill</t>
        </is>
      </c>
      <c r="I607" t="inlineStr">
        <is>
          <t>Estados Unidos</t>
        </is>
      </c>
      <c r="J607" t="inlineStr">
        <is>
          <t>Crimen, Comedia</t>
        </is>
      </c>
      <c r="M607" s="6" t="n"/>
      <c r="O607" s="24" t="inlineStr"/>
      <c r="Q607" s="25" t="n"/>
      <c r="R607" s="25" t="n">
        <v>156000000</v>
      </c>
      <c r="S607" s="25" t="n"/>
      <c r="T607" s="25">
        <f>IF(AND(R607="",S607=""),"",N(R607)+N(S607))</f>
        <v/>
      </c>
      <c r="U607" s="25" t="n"/>
      <c r="V607" s="26" t="inlineStr">
        <is>
          <t>IMDb</t>
        </is>
      </c>
      <c r="W607" s="26" t="inlineStr">
        <is>
          <t>FilmAffinity</t>
        </is>
      </c>
      <c r="X607" s="26" t="inlineStr">
        <is>
          <t>Letterboxd</t>
        </is>
      </c>
    </row>
    <row r="608">
      <c r="A608" t="inlineStr">
        <is>
          <t>p0607</t>
        </is>
      </c>
      <c r="B608" t="inlineStr">
        <is>
          <t>El exorcista</t>
        </is>
      </c>
      <c r="C608" t="inlineStr">
        <is>
          <t>The Exorcist</t>
        </is>
      </c>
      <c r="D608" s="4" t="n">
        <v>1973</v>
      </c>
      <c r="E608" s="4">
        <f>IF(D608="","",FLOOR(D608,10))</f>
        <v/>
      </c>
      <c r="F608" s="22" t="n">
        <v>121</v>
      </c>
      <c r="G608" s="23" t="n">
        <v>7.2</v>
      </c>
      <c r="H608" t="inlineStr">
        <is>
          <t>William Friedkin</t>
        </is>
      </c>
      <c r="I608" t="inlineStr">
        <is>
          <t>Estados Unidos</t>
        </is>
      </c>
      <c r="J608" t="inlineStr">
        <is>
          <t>Terror</t>
        </is>
      </c>
      <c r="M608" s="6" t="n"/>
      <c r="O608" s="24" t="inlineStr"/>
      <c r="Q608" s="25" t="n"/>
      <c r="R608" s="25" t="n">
        <v>233005644</v>
      </c>
      <c r="S608" s="25" t="n"/>
      <c r="T608" s="25">
        <f>IF(AND(R608="",S608=""),"",N(R608)+N(S608))</f>
        <v/>
      </c>
      <c r="U608" s="25" t="n"/>
      <c r="V608" s="26" t="inlineStr">
        <is>
          <t>IMDb</t>
        </is>
      </c>
      <c r="W608" s="26" t="inlineStr">
        <is>
          <t>FilmAffinity</t>
        </is>
      </c>
      <c r="X608" s="26" t="inlineStr">
        <is>
          <t>Letterboxd</t>
        </is>
      </c>
    </row>
    <row r="609">
      <c r="A609" t="inlineStr">
        <is>
          <t>p0608</t>
        </is>
      </c>
      <c r="B609" t="inlineStr">
        <is>
          <t>El padrino</t>
        </is>
      </c>
      <c r="C609" t="inlineStr">
        <is>
          <t>The Godfather</t>
        </is>
      </c>
      <c r="D609" s="4" t="n">
        <v>1972</v>
      </c>
      <c r="E609" s="4">
        <f>IF(D609="","",FLOOR(D609,10))</f>
        <v/>
      </c>
      <c r="F609" s="22" t="n">
        <v>175</v>
      </c>
      <c r="G609" s="23" t="n">
        <v>10</v>
      </c>
      <c r="H609" t="inlineStr">
        <is>
          <t>Francis Ford Coppola</t>
        </is>
      </c>
      <c r="I609" t="inlineStr">
        <is>
          <t>Estados Unidos</t>
        </is>
      </c>
      <c r="J609" t="inlineStr">
        <is>
          <t>Crimen, Drama</t>
        </is>
      </c>
      <c r="K609" t="inlineStr">
        <is>
          <t>El Padrino</t>
        </is>
      </c>
      <c r="M609" s="6" t="n"/>
      <c r="O609" s="24" t="inlineStr"/>
      <c r="Q609" s="25" t="n"/>
      <c r="R609" s="25" t="n">
        <v>136381073</v>
      </c>
      <c r="S609" s="25" t="n"/>
      <c r="T609" s="25">
        <f>IF(AND(R609="",S609=""),"",N(R609)+N(S609))</f>
        <v/>
      </c>
      <c r="U609" s="25" t="n"/>
      <c r="V609" s="26" t="inlineStr">
        <is>
          <t>IMDb</t>
        </is>
      </c>
      <c r="W609" s="26" t="inlineStr">
        <is>
          <t>FilmAffinity</t>
        </is>
      </c>
      <c r="X609" s="26" t="inlineStr">
        <is>
          <t>Letterboxd</t>
        </is>
      </c>
    </row>
    <row r="610">
      <c r="A610" t="inlineStr">
        <is>
          <t>p0609</t>
        </is>
      </c>
      <c r="B610" t="inlineStr">
        <is>
          <t>La Naranja Mecánica</t>
        </is>
      </c>
      <c r="C610" t="inlineStr">
        <is>
          <t>A Clockwork Orange</t>
        </is>
      </c>
      <c r="D610" s="4" t="n">
        <v>1971</v>
      </c>
      <c r="E610" s="4">
        <f>IF(D610="","",FLOOR(D610,10))</f>
        <v/>
      </c>
      <c r="F610" s="22" t="n">
        <v>137</v>
      </c>
      <c r="G610" s="23" t="n">
        <v>8.9</v>
      </c>
      <c r="H610" t="inlineStr">
        <is>
          <t>Stanley Kubrick</t>
        </is>
      </c>
      <c r="I610" t="inlineStr">
        <is>
          <t>Estados Unidos</t>
        </is>
      </c>
      <c r="J610" t="inlineStr">
        <is>
          <t>Ciencia ficción, Crimen, Drama</t>
        </is>
      </c>
      <c r="M610" s="6" t="n"/>
      <c r="O610" s="24" t="inlineStr"/>
      <c r="Q610" s="25" t="n"/>
      <c r="R610" s="25" t="n">
        <v>26617553</v>
      </c>
      <c r="S610" s="25" t="n"/>
      <c r="T610" s="25">
        <f>IF(AND(R610="",S610=""),"",N(R610)+N(S610))</f>
        <v/>
      </c>
      <c r="U610" s="25" t="n"/>
      <c r="V610" s="26" t="inlineStr">
        <is>
          <t>IMDb</t>
        </is>
      </c>
      <c r="W610" s="26" t="inlineStr">
        <is>
          <t>FilmAffinity</t>
        </is>
      </c>
      <c r="X610" s="26" t="inlineStr">
        <is>
          <t>Letterboxd</t>
        </is>
      </c>
    </row>
    <row r="611">
      <c r="A611" t="inlineStr">
        <is>
          <t>p0610</t>
        </is>
      </c>
      <c r="B611" t="inlineStr">
        <is>
          <t>Rebelión en las aulas</t>
        </is>
      </c>
      <c r="C611" t="inlineStr">
        <is>
          <t>To Sir, with Love</t>
        </is>
      </c>
      <c r="D611" s="4" t="n">
        <v>1967</v>
      </c>
      <c r="E611" s="4">
        <f>IF(D611="","",FLOOR(D611,10))</f>
        <v/>
      </c>
      <c r="F611" s="22" t="n">
        <v>105</v>
      </c>
      <c r="G611" s="23" t="n">
        <v>6.4</v>
      </c>
      <c r="H611" t="inlineStr">
        <is>
          <t>James Clavell</t>
        </is>
      </c>
      <c r="I611" t="inlineStr">
        <is>
          <t>Reino Unido</t>
        </is>
      </c>
      <c r="J611" t="inlineStr">
        <is>
          <t>Drama</t>
        </is>
      </c>
      <c r="M611" s="6" t="n"/>
      <c r="O611" s="24" t="inlineStr"/>
      <c r="Q611" s="25" t="n"/>
      <c r="R611" s="25" t="n"/>
      <c r="S611" s="25" t="n"/>
      <c r="T611" s="25">
        <f>IF(AND(R611="",S611=""),"",N(R611)+N(S611))</f>
        <v/>
      </c>
      <c r="U611" s="25" t="n"/>
      <c r="V611" s="26" t="inlineStr">
        <is>
          <t>IMDb</t>
        </is>
      </c>
      <c r="W611" s="26" t="inlineStr">
        <is>
          <t>FilmAffinity</t>
        </is>
      </c>
      <c r="X611" s="26" t="inlineStr">
        <is>
          <t>Letterboxd</t>
        </is>
      </c>
    </row>
    <row r="612">
      <c r="A612" t="inlineStr">
        <is>
          <t>p0611</t>
        </is>
      </c>
      <c r="B612" t="inlineStr">
        <is>
          <t>El Bueno, el Feo y el Malo</t>
        </is>
      </c>
      <c r="C612" t="inlineStr">
        <is>
          <t>The Good, the Bad and the Ugly</t>
        </is>
      </c>
      <c r="D612" s="4" t="n">
        <v>1966</v>
      </c>
      <c r="E612" s="4">
        <f>IF(D612="","",FLOOR(D612,10))</f>
        <v/>
      </c>
      <c r="F612" s="22" t="n">
        <v>161</v>
      </c>
      <c r="G612" s="23" t="n">
        <v>8.300000000000001</v>
      </c>
      <c r="H612" t="inlineStr">
        <is>
          <t>Sergio Leone</t>
        </is>
      </c>
      <c r="I612" t="inlineStr">
        <is>
          <t>Italia</t>
        </is>
      </c>
      <c r="J612" t="inlineStr">
        <is>
          <t>Western, Aventura</t>
        </is>
      </c>
      <c r="M612" s="6" t="n"/>
      <c r="O612" s="24" t="inlineStr"/>
      <c r="Q612" s="25" t="n"/>
      <c r="R612" s="25" t="n">
        <v>25100000</v>
      </c>
      <c r="S612" s="25" t="n"/>
      <c r="T612" s="25">
        <f>IF(AND(R612="",S612=""),"",N(R612)+N(S612))</f>
        <v/>
      </c>
      <c r="U612" s="25" t="n"/>
      <c r="V612" s="26" t="inlineStr">
        <is>
          <t>IMDb</t>
        </is>
      </c>
      <c r="W612" s="26" t="inlineStr">
        <is>
          <t>FilmAffinity</t>
        </is>
      </c>
      <c r="X612" s="26" t="inlineStr">
        <is>
          <t>Letterboxd</t>
        </is>
      </c>
    </row>
    <row r="613">
      <c r="A613" t="inlineStr">
        <is>
          <t>p0612</t>
        </is>
      </c>
      <c r="B613" t="inlineStr">
        <is>
          <t>Psicosis</t>
        </is>
      </c>
      <c r="C613" t="inlineStr">
        <is>
          <t>Psycho</t>
        </is>
      </c>
      <c r="D613" s="4" t="n">
        <v>1960</v>
      </c>
      <c r="E613" s="4">
        <f>IF(D613="","",FLOOR(D613,10))</f>
        <v/>
      </c>
      <c r="F613" s="22" t="n">
        <v>109</v>
      </c>
      <c r="G613" s="23" t="n">
        <v>8.699999999999999</v>
      </c>
      <c r="H613" t="inlineStr">
        <is>
          <t>Alfred Hitchcock</t>
        </is>
      </c>
      <c r="I613" t="inlineStr">
        <is>
          <t>Estados Unidos</t>
        </is>
      </c>
      <c r="J613" t="inlineStr">
        <is>
          <t>Terror, Thriller, Misterio</t>
        </is>
      </c>
      <c r="M613" s="6" t="n"/>
      <c r="O613" s="24" t="inlineStr"/>
      <c r="Q613" s="25" t="n"/>
      <c r="R613" s="25" t="n">
        <v>32181230</v>
      </c>
      <c r="S613" s="25" t="n"/>
      <c r="T613" s="25">
        <f>IF(AND(R613="",S613=""),"",N(R613)+N(S613))</f>
        <v/>
      </c>
      <c r="U613" s="25" t="n"/>
      <c r="V613" s="26" t="inlineStr">
        <is>
          <t>IMDb</t>
        </is>
      </c>
      <c r="W613" s="26" t="inlineStr">
        <is>
          <t>FilmAffinity</t>
        </is>
      </c>
      <c r="X613" s="26" t="inlineStr">
        <is>
          <t>Letterboxd</t>
        </is>
      </c>
    </row>
    <row r="614">
      <c r="A614" t="inlineStr">
        <is>
          <t>p0613</t>
        </is>
      </c>
      <c r="B614" t="inlineStr">
        <is>
          <t>Doce Hombres sin Piedad</t>
        </is>
      </c>
      <c r="C614" t="inlineStr">
        <is>
          <t>12 Angry Men</t>
        </is>
      </c>
      <c r="D614" s="4" t="n">
        <v>1957</v>
      </c>
      <c r="E614" s="4">
        <f>IF(D614="","",FLOOR(D614,10))</f>
        <v/>
      </c>
      <c r="F614" s="22" t="n">
        <v>95</v>
      </c>
      <c r="G614" s="23" t="n">
        <v>9.4</v>
      </c>
      <c r="H614" t="inlineStr">
        <is>
          <t>Sidney Lumet</t>
        </is>
      </c>
      <c r="I614" t="inlineStr">
        <is>
          <t>Estados Unidos</t>
        </is>
      </c>
      <c r="J614" t="inlineStr">
        <is>
          <t>Drama, Crimen</t>
        </is>
      </c>
      <c r="M614" s="6" t="n"/>
      <c r="O614" s="24" t="inlineStr"/>
      <c r="Q614" s="25" t="n"/>
      <c r="R614" s="25" t="n"/>
      <c r="S614" s="25" t="n"/>
      <c r="T614" s="25">
        <f>IF(AND(R614="",S614=""),"",N(R614)+N(S614))</f>
        <v/>
      </c>
      <c r="U614" s="25" t="n"/>
      <c r="V614" s="26" t="inlineStr">
        <is>
          <t>IMDb</t>
        </is>
      </c>
      <c r="W614" s="26" t="inlineStr">
        <is>
          <t>FilmAffinity</t>
        </is>
      </c>
      <c r="X614" s="26" t="inlineStr">
        <is>
          <t>Letterboxd</t>
        </is>
      </c>
    </row>
    <row r="615">
      <c r="A615" t="inlineStr">
        <is>
          <t>p0614</t>
        </is>
      </c>
      <c r="B615" t="inlineStr">
        <is>
          <t>Peter Pan</t>
        </is>
      </c>
      <c r="C615" t="inlineStr">
        <is>
          <t>Peter Pan</t>
        </is>
      </c>
      <c r="D615" s="4" t="n">
        <v>1953</v>
      </c>
      <c r="E615" s="4">
        <f>IF(D615="","",FLOOR(D615,10))</f>
        <v/>
      </c>
      <c r="F615" s="22" t="n">
        <v>77</v>
      </c>
      <c r="G615" s="23" t="n">
        <v>7.1</v>
      </c>
      <c r="H615" t="inlineStr">
        <is>
          <t>Clyde Geronimi / Hamilton Luske / Wilfred Jackson / Jack Kinney</t>
        </is>
      </c>
      <c r="I615" t="inlineStr">
        <is>
          <t>Estados Unidos</t>
        </is>
      </c>
      <c r="J615" t="inlineStr">
        <is>
          <t>Animación, Aventura, Familiar</t>
        </is>
      </c>
      <c r="M615" s="6" t="n"/>
      <c r="O615" s="24" t="inlineStr"/>
      <c r="Q615" s="25" t="n"/>
      <c r="R615" s="25" t="n"/>
      <c r="S615" s="25" t="n"/>
      <c r="T615" s="25">
        <f>IF(AND(R615="",S615=""),"",N(R615)+N(S615))</f>
        <v/>
      </c>
      <c r="U615" s="25" t="n"/>
      <c r="V615" s="26" t="inlineStr">
        <is>
          <t>IMDb</t>
        </is>
      </c>
      <c r="W615" s="26" t="inlineStr">
        <is>
          <t>FilmAffinity</t>
        </is>
      </c>
      <c r="X615" s="26" t="inlineStr">
        <is>
          <t>Letterboxd</t>
        </is>
      </c>
    </row>
    <row r="616">
      <c r="A616" t="inlineStr">
        <is>
          <t>p0615</t>
        </is>
      </c>
      <c r="B616" t="inlineStr">
        <is>
          <t>Alicia en el país de las maravillas</t>
        </is>
      </c>
      <c r="C616" t="inlineStr">
        <is>
          <t>Alice in Wonderland</t>
        </is>
      </c>
      <c r="D616" s="4" t="n">
        <v>1951</v>
      </c>
      <c r="E616" s="4">
        <f>IF(D616="","",FLOOR(D616,10))</f>
        <v/>
      </c>
      <c r="F616" s="22" t="n">
        <v>75</v>
      </c>
      <c r="G616" s="23" t="n">
        <v>6.9</v>
      </c>
      <c r="H616" t="inlineStr">
        <is>
          <t>Clyde Geronimi / Hamilton Luske / Wilfred Jackson</t>
        </is>
      </c>
      <c r="I616" t="inlineStr">
        <is>
          <t>Estados Unidos</t>
        </is>
      </c>
      <c r="J616" t="inlineStr">
        <is>
          <t>Animación, Fantasía, Familiar</t>
        </is>
      </c>
      <c r="M616" s="6" t="n"/>
      <c r="O616" s="24" t="inlineStr"/>
      <c r="Q616" s="25" t="n"/>
      <c r="R616" s="25" t="n"/>
      <c r="S616" s="25" t="n"/>
      <c r="T616" s="25">
        <f>IF(AND(R616="",S616=""),"",N(R616)+N(S616))</f>
        <v/>
      </c>
      <c r="U616" s="25" t="n"/>
      <c r="V616" s="26" t="inlineStr">
        <is>
          <t>IMDb</t>
        </is>
      </c>
      <c r="W616" s="26" t="inlineStr">
        <is>
          <t>FilmAffinity</t>
        </is>
      </c>
      <c r="X616" s="26" t="inlineStr">
        <is>
          <t>Letterboxd</t>
        </is>
      </c>
    </row>
    <row r="617">
      <c r="A617" t="inlineStr">
        <is>
          <t>p0616</t>
        </is>
      </c>
      <c r="B617" t="inlineStr">
        <is>
          <t>La Cenicienta</t>
        </is>
      </c>
      <c r="C617" t="inlineStr">
        <is>
          <t>Cinderella</t>
        </is>
      </c>
      <c r="D617" s="4" t="n">
        <v>1950</v>
      </c>
      <c r="E617" s="4">
        <f>IF(D617="","",FLOOR(D617,10))</f>
        <v/>
      </c>
      <c r="F617" s="22" t="n">
        <v>74</v>
      </c>
      <c r="G617" s="23" t="n">
        <v>6.3</v>
      </c>
      <c r="H617" t="inlineStr">
        <is>
          <t>Clyde Geronimi / Hamilton Luske / Wilfred Jackson</t>
        </is>
      </c>
      <c r="I617" t="inlineStr">
        <is>
          <t>Estados Unidos</t>
        </is>
      </c>
      <c r="J617" t="inlineStr">
        <is>
          <t>Animación, Fantasía, Familiar</t>
        </is>
      </c>
      <c r="M617" s="6" t="n"/>
      <c r="O617" s="24" t="inlineStr"/>
      <c r="Q617" s="25" t="n"/>
      <c r="R617" s="25" t="n"/>
      <c r="S617" s="25" t="n"/>
      <c r="T617" s="25">
        <f>IF(AND(R617="",S617=""),"",N(R617)+N(S617))</f>
        <v/>
      </c>
      <c r="U617" s="25" t="n"/>
      <c r="V617" s="26" t="inlineStr">
        <is>
          <t>IMDb</t>
        </is>
      </c>
      <c r="W617" s="26" t="inlineStr">
        <is>
          <t>FilmAffinity</t>
        </is>
      </c>
      <c r="X617" s="26" t="inlineStr">
        <is>
          <t>Letterboxd</t>
        </is>
      </c>
    </row>
    <row r="618">
      <c r="A618" t="inlineStr">
        <is>
          <t>p0617</t>
        </is>
      </c>
      <c r="B618" t="inlineStr">
        <is>
          <t>El tercer hombre</t>
        </is>
      </c>
      <c r="C618" t="inlineStr">
        <is>
          <t>The Third Man</t>
        </is>
      </c>
      <c r="D618" s="4" t="n">
        <v>1949</v>
      </c>
      <c r="E618" s="4">
        <f>IF(D618="","",FLOOR(D618,10))</f>
        <v/>
      </c>
      <c r="F618" s="22" t="n">
        <v>104</v>
      </c>
      <c r="G618" s="23" t="n">
        <v>8.4</v>
      </c>
      <c r="H618" t="inlineStr">
        <is>
          <t>Carol Reed</t>
        </is>
      </c>
      <c r="I618" t="inlineStr">
        <is>
          <t>Reino Unido</t>
        </is>
      </c>
      <c r="J618" t="inlineStr">
        <is>
          <t>Thriller, Misterio</t>
        </is>
      </c>
      <c r="M618" s="6" t="n"/>
      <c r="O618" s="24" t="inlineStr"/>
      <c r="Q618" s="25" t="n"/>
      <c r="R618" s="25" t="n"/>
      <c r="S618" s="25" t="n"/>
      <c r="T618" s="25">
        <f>IF(AND(R618="",S618=""),"",N(R618)+N(S618))</f>
        <v/>
      </c>
      <c r="U618" s="25" t="n"/>
      <c r="V618" s="26" t="inlineStr">
        <is>
          <t>IMDb</t>
        </is>
      </c>
      <c r="W618" s="26" t="inlineStr">
        <is>
          <t>FilmAffinity</t>
        </is>
      </c>
      <c r="X618" s="26" t="inlineStr">
        <is>
          <t>Letterboxd</t>
        </is>
      </c>
    </row>
    <row r="619">
      <c r="A619" t="inlineStr">
        <is>
          <t>p0618</t>
        </is>
      </c>
      <c r="B619" t="inlineStr">
        <is>
          <t>Casablanca</t>
        </is>
      </c>
      <c r="C619" t="inlineStr">
        <is>
          <t>Casablanca</t>
        </is>
      </c>
      <c r="D619" s="4" t="n">
        <v>1942</v>
      </c>
      <c r="E619" s="4">
        <f>IF(D619="","",FLOOR(D619,10))</f>
        <v/>
      </c>
      <c r="F619" s="22" t="n">
        <v>102</v>
      </c>
      <c r="G619" s="23" t="n">
        <v>9</v>
      </c>
      <c r="H619" t="inlineStr">
        <is>
          <t>Michael Curtiz</t>
        </is>
      </c>
      <c r="I619" t="inlineStr">
        <is>
          <t>Estados Unidos</t>
        </is>
      </c>
      <c r="J619" t="inlineStr">
        <is>
          <t>Romance, Drama, Bélico</t>
        </is>
      </c>
      <c r="M619" s="6" t="n"/>
      <c r="O619" s="24" t="inlineStr"/>
      <c r="Q619" s="25" t="n"/>
      <c r="R619" s="25" t="n"/>
      <c r="S619" s="25" t="n"/>
      <c r="T619" s="25">
        <f>IF(AND(R619="",S619=""),"",N(R619)+N(S619))</f>
        <v/>
      </c>
      <c r="U619" s="25" t="n"/>
      <c r="V619" s="26" t="inlineStr">
        <is>
          <t>IMDb</t>
        </is>
      </c>
      <c r="W619" s="26" t="inlineStr">
        <is>
          <t>FilmAffinity</t>
        </is>
      </c>
      <c r="X619" s="26" t="inlineStr">
        <is>
          <t>Letterboxd</t>
        </is>
      </c>
    </row>
    <row r="620">
      <c r="A620" t="inlineStr">
        <is>
          <t>p0619</t>
        </is>
      </c>
      <c r="B620" t="inlineStr">
        <is>
          <t>Historias de Filadelfia</t>
        </is>
      </c>
      <c r="C620" t="inlineStr">
        <is>
          <t>The Philadelphia Story</t>
        </is>
      </c>
      <c r="D620" s="4" t="n">
        <v>1940</v>
      </c>
      <c r="E620" s="4">
        <f>IF(D620="","",FLOOR(D620,10))</f>
        <v/>
      </c>
      <c r="F620" s="22" t="n">
        <v>112</v>
      </c>
      <c r="G620" s="23" t="n">
        <v>8.300000000000001</v>
      </c>
      <c r="H620" t="inlineStr">
        <is>
          <t>George Cukor</t>
        </is>
      </c>
      <c r="I620" t="inlineStr">
        <is>
          <t>Estados Unidos</t>
        </is>
      </c>
      <c r="J620" t="inlineStr">
        <is>
          <t>Comedia, Romance</t>
        </is>
      </c>
      <c r="M620" s="6" t="n"/>
      <c r="O620" s="24" t="inlineStr"/>
      <c r="Q620" s="25" t="n"/>
      <c r="R620" s="25" t="n"/>
      <c r="S620" s="25" t="n"/>
      <c r="T620" s="25">
        <f>IF(AND(R620="",S620=""),"",N(R620)+N(S620))</f>
        <v/>
      </c>
      <c r="U620" s="25" t="n"/>
      <c r="V620" s="26" t="inlineStr">
        <is>
          <t>IMDb</t>
        </is>
      </c>
      <c r="W620" s="26" t="inlineStr">
        <is>
          <t>FilmAffinity</t>
        </is>
      </c>
      <c r="X620" s="26" t="inlineStr">
        <is>
          <t>Letterboxd</t>
        </is>
      </c>
    </row>
    <row r="621">
      <c r="A621" t="inlineStr">
        <is>
          <t>p0620</t>
        </is>
      </c>
      <c r="B621" t="inlineStr">
        <is>
          <t>Pinocho</t>
        </is>
      </c>
      <c r="C621" t="inlineStr">
        <is>
          <t>Pinocchio</t>
        </is>
      </c>
      <c r="D621" s="4" t="n">
        <v>1940</v>
      </c>
      <c r="E621" s="4">
        <f>IF(D621="","",FLOOR(D621,10))</f>
        <v/>
      </c>
      <c r="F621" s="22" t="n">
        <v>87</v>
      </c>
      <c r="G621" s="23" t="n">
        <v>7.9</v>
      </c>
      <c r="H621" t="inlineStr">
        <is>
          <t>Ben Sharpsteen / Hamilton Luske</t>
        </is>
      </c>
      <c r="I621" t="inlineStr">
        <is>
          <t>Estados Unidos</t>
        </is>
      </c>
      <c r="J621" t="inlineStr">
        <is>
          <t>Animación, Fantasía, Familiar</t>
        </is>
      </c>
      <c r="M621" s="6" t="n"/>
      <c r="O621" s="24" t="inlineStr"/>
      <c r="Q621" s="25" t="n"/>
      <c r="R621" s="25" t="n"/>
      <c r="S621" s="25" t="n"/>
      <c r="T621" s="25">
        <f>IF(AND(R621="",S621=""),"",N(R621)+N(S621))</f>
        <v/>
      </c>
      <c r="U621" s="25" t="n"/>
      <c r="V621" s="26" t="inlineStr">
        <is>
          <t>IMDb</t>
        </is>
      </c>
      <c r="W621" s="26" t="inlineStr">
        <is>
          <t>FilmAffinity</t>
        </is>
      </c>
      <c r="X621" s="26" t="inlineStr">
        <is>
          <t>Letterboxd</t>
        </is>
      </c>
    </row>
    <row r="622">
      <c r="A622" t="inlineStr">
        <is>
          <t>p0621</t>
        </is>
      </c>
      <c r="B622" t="inlineStr">
        <is>
          <t>Blancanieves y los Siete Enanitos</t>
        </is>
      </c>
      <c r="C622" t="inlineStr">
        <is>
          <t>Snow White and the Seven Dwarfs</t>
        </is>
      </c>
      <c r="D622" s="4" t="n">
        <v>1937</v>
      </c>
      <c r="E622" s="4">
        <f>IF(D622="","",FLOOR(D622,10))</f>
        <v/>
      </c>
      <c r="F622" s="22" t="n">
        <v>83</v>
      </c>
      <c r="G622" s="23" t="n">
        <v>7</v>
      </c>
      <c r="H622" t="inlineStr">
        <is>
          <t>David Hand</t>
        </is>
      </c>
      <c r="I622" t="inlineStr">
        <is>
          <t>Estados Unidos</t>
        </is>
      </c>
      <c r="J622" t="inlineStr">
        <is>
          <t>Animación, Fantasía, Familiar</t>
        </is>
      </c>
      <c r="M622" s="6" t="n"/>
      <c r="O622" s="24" t="inlineStr"/>
      <c r="Q622" s="25" t="n"/>
      <c r="R622" s="25" t="n"/>
      <c r="S622" s="25" t="n"/>
      <c r="T622" s="25">
        <f>IF(AND(R622="",S622=""),"",N(R622)+N(S622))</f>
        <v/>
      </c>
      <c r="U622" s="25" t="n"/>
      <c r="V622" s="26" t="inlineStr">
        <is>
          <t>IMDb</t>
        </is>
      </c>
      <c r="W622" s="26" t="inlineStr">
        <is>
          <t>FilmAffinity</t>
        </is>
      </c>
      <c r="X622" s="26" t="inlineStr">
        <is>
          <t>Letterboxd</t>
        </is>
      </c>
    </row>
  </sheetData>
  <conditionalFormatting sqref="G2:G622">
    <cfRule type="colorScale" priority="1">
      <colorScale>
        <cfvo type="num" val="0"/>
        <cfvo type="num" val="5.5"/>
        <cfvo type="num" val="10"/>
        <color rgb="00F8696B"/>
        <color rgb="00FFE08A"/>
        <color rgb="005DBB7A"/>
      </colorScale>
    </cfRule>
  </conditionalFormatting>
  <conditionalFormatting sqref="T2:T622">
    <cfRule type="dataBar" priority="2">
      <dataBar>
        <cfvo type="min"/>
        <cfvo type="max"/>
        <color rgb="00C9962F"/>
      </dataBar>
    </cfRule>
  </conditionalFormatting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X2" r:id="rId3"/>
    <hyperlink xmlns:r="http://schemas.openxmlformats.org/officeDocument/2006/relationships" ref="V3" r:id="rId4"/>
    <hyperlink xmlns:r="http://schemas.openxmlformats.org/officeDocument/2006/relationships" ref="W3" r:id="rId5"/>
    <hyperlink xmlns:r="http://schemas.openxmlformats.org/officeDocument/2006/relationships" ref="X3" r:id="rId6"/>
    <hyperlink xmlns:r="http://schemas.openxmlformats.org/officeDocument/2006/relationships" ref="V4" r:id="rId7"/>
    <hyperlink xmlns:r="http://schemas.openxmlformats.org/officeDocument/2006/relationships" ref="W4" r:id="rId8"/>
    <hyperlink xmlns:r="http://schemas.openxmlformats.org/officeDocument/2006/relationships" ref="X4" r:id="rId9"/>
    <hyperlink xmlns:r="http://schemas.openxmlformats.org/officeDocument/2006/relationships" ref="V5" r:id="rId10"/>
    <hyperlink xmlns:r="http://schemas.openxmlformats.org/officeDocument/2006/relationships" ref="W5" r:id="rId11"/>
    <hyperlink xmlns:r="http://schemas.openxmlformats.org/officeDocument/2006/relationships" ref="X5" r:id="rId12"/>
    <hyperlink xmlns:r="http://schemas.openxmlformats.org/officeDocument/2006/relationships" ref="V6" r:id="rId13"/>
    <hyperlink xmlns:r="http://schemas.openxmlformats.org/officeDocument/2006/relationships" ref="W6" r:id="rId14"/>
    <hyperlink xmlns:r="http://schemas.openxmlformats.org/officeDocument/2006/relationships" ref="X6" r:id="rId15"/>
    <hyperlink xmlns:r="http://schemas.openxmlformats.org/officeDocument/2006/relationships" ref="V7" r:id="rId16"/>
    <hyperlink xmlns:r="http://schemas.openxmlformats.org/officeDocument/2006/relationships" ref="W7" r:id="rId17"/>
    <hyperlink xmlns:r="http://schemas.openxmlformats.org/officeDocument/2006/relationships" ref="X7" r:id="rId18"/>
    <hyperlink xmlns:r="http://schemas.openxmlformats.org/officeDocument/2006/relationships" ref="V8" r:id="rId19"/>
    <hyperlink xmlns:r="http://schemas.openxmlformats.org/officeDocument/2006/relationships" ref="W8" r:id="rId20"/>
    <hyperlink xmlns:r="http://schemas.openxmlformats.org/officeDocument/2006/relationships" ref="X8" r:id="rId21"/>
    <hyperlink xmlns:r="http://schemas.openxmlformats.org/officeDocument/2006/relationships" ref="V9" r:id="rId22"/>
    <hyperlink xmlns:r="http://schemas.openxmlformats.org/officeDocument/2006/relationships" ref="X9" r:id="rId23"/>
    <hyperlink xmlns:r="http://schemas.openxmlformats.org/officeDocument/2006/relationships" ref="V10" r:id="rId24"/>
    <hyperlink xmlns:r="http://schemas.openxmlformats.org/officeDocument/2006/relationships" ref="W10" r:id="rId25"/>
    <hyperlink xmlns:r="http://schemas.openxmlformats.org/officeDocument/2006/relationships" ref="X10" r:id="rId26"/>
    <hyperlink xmlns:r="http://schemas.openxmlformats.org/officeDocument/2006/relationships" ref="V11" r:id="rId27"/>
    <hyperlink xmlns:r="http://schemas.openxmlformats.org/officeDocument/2006/relationships" ref="W11" r:id="rId28"/>
    <hyperlink xmlns:r="http://schemas.openxmlformats.org/officeDocument/2006/relationships" ref="X11" r:id="rId29"/>
    <hyperlink xmlns:r="http://schemas.openxmlformats.org/officeDocument/2006/relationships" ref="V12" r:id="rId30"/>
    <hyperlink xmlns:r="http://schemas.openxmlformats.org/officeDocument/2006/relationships" ref="W12" r:id="rId31"/>
    <hyperlink xmlns:r="http://schemas.openxmlformats.org/officeDocument/2006/relationships" ref="X12" r:id="rId32"/>
    <hyperlink xmlns:r="http://schemas.openxmlformats.org/officeDocument/2006/relationships" ref="V13" r:id="rId33"/>
    <hyperlink xmlns:r="http://schemas.openxmlformats.org/officeDocument/2006/relationships" ref="W13" r:id="rId34"/>
    <hyperlink xmlns:r="http://schemas.openxmlformats.org/officeDocument/2006/relationships" ref="X13" r:id="rId35"/>
    <hyperlink xmlns:r="http://schemas.openxmlformats.org/officeDocument/2006/relationships" ref="V14" r:id="rId36"/>
    <hyperlink xmlns:r="http://schemas.openxmlformats.org/officeDocument/2006/relationships" ref="W14" r:id="rId37"/>
    <hyperlink xmlns:r="http://schemas.openxmlformats.org/officeDocument/2006/relationships" ref="X14" r:id="rId38"/>
    <hyperlink xmlns:r="http://schemas.openxmlformats.org/officeDocument/2006/relationships" ref="V15" r:id="rId39"/>
    <hyperlink xmlns:r="http://schemas.openxmlformats.org/officeDocument/2006/relationships" ref="W15" r:id="rId40"/>
    <hyperlink xmlns:r="http://schemas.openxmlformats.org/officeDocument/2006/relationships" ref="X15" r:id="rId41"/>
    <hyperlink xmlns:r="http://schemas.openxmlformats.org/officeDocument/2006/relationships" ref="V16" r:id="rId42"/>
    <hyperlink xmlns:r="http://schemas.openxmlformats.org/officeDocument/2006/relationships" ref="W16" r:id="rId43"/>
    <hyperlink xmlns:r="http://schemas.openxmlformats.org/officeDocument/2006/relationships" ref="X16" r:id="rId44"/>
    <hyperlink xmlns:r="http://schemas.openxmlformats.org/officeDocument/2006/relationships" ref="V17" r:id="rId45"/>
    <hyperlink xmlns:r="http://schemas.openxmlformats.org/officeDocument/2006/relationships" ref="W17" r:id="rId46"/>
    <hyperlink xmlns:r="http://schemas.openxmlformats.org/officeDocument/2006/relationships" ref="X17" r:id="rId47"/>
    <hyperlink xmlns:r="http://schemas.openxmlformats.org/officeDocument/2006/relationships" ref="V18" r:id="rId48"/>
    <hyperlink xmlns:r="http://schemas.openxmlformats.org/officeDocument/2006/relationships" ref="W18" r:id="rId49"/>
    <hyperlink xmlns:r="http://schemas.openxmlformats.org/officeDocument/2006/relationships" ref="X18" r:id="rId50"/>
    <hyperlink xmlns:r="http://schemas.openxmlformats.org/officeDocument/2006/relationships" ref="V19" r:id="rId51"/>
    <hyperlink xmlns:r="http://schemas.openxmlformats.org/officeDocument/2006/relationships" ref="W19" r:id="rId52"/>
    <hyperlink xmlns:r="http://schemas.openxmlformats.org/officeDocument/2006/relationships" ref="X19" r:id="rId53"/>
    <hyperlink xmlns:r="http://schemas.openxmlformats.org/officeDocument/2006/relationships" ref="V20" r:id="rId54"/>
    <hyperlink xmlns:r="http://schemas.openxmlformats.org/officeDocument/2006/relationships" ref="W20" r:id="rId55"/>
    <hyperlink xmlns:r="http://schemas.openxmlformats.org/officeDocument/2006/relationships" ref="X20" r:id="rId56"/>
    <hyperlink xmlns:r="http://schemas.openxmlformats.org/officeDocument/2006/relationships" ref="V21" r:id="rId57"/>
    <hyperlink xmlns:r="http://schemas.openxmlformats.org/officeDocument/2006/relationships" ref="W21" r:id="rId58"/>
    <hyperlink xmlns:r="http://schemas.openxmlformats.org/officeDocument/2006/relationships" ref="X21" r:id="rId59"/>
    <hyperlink xmlns:r="http://schemas.openxmlformats.org/officeDocument/2006/relationships" ref="V22" r:id="rId60"/>
    <hyperlink xmlns:r="http://schemas.openxmlformats.org/officeDocument/2006/relationships" ref="W22" r:id="rId61"/>
    <hyperlink xmlns:r="http://schemas.openxmlformats.org/officeDocument/2006/relationships" ref="X22" r:id="rId62"/>
    <hyperlink xmlns:r="http://schemas.openxmlformats.org/officeDocument/2006/relationships" ref="V23" r:id="rId63"/>
    <hyperlink xmlns:r="http://schemas.openxmlformats.org/officeDocument/2006/relationships" ref="W23" r:id="rId64"/>
    <hyperlink xmlns:r="http://schemas.openxmlformats.org/officeDocument/2006/relationships" ref="X23" r:id="rId65"/>
    <hyperlink xmlns:r="http://schemas.openxmlformats.org/officeDocument/2006/relationships" ref="V24" r:id="rId66"/>
    <hyperlink xmlns:r="http://schemas.openxmlformats.org/officeDocument/2006/relationships" ref="W24" r:id="rId67"/>
    <hyperlink xmlns:r="http://schemas.openxmlformats.org/officeDocument/2006/relationships" ref="X24" r:id="rId68"/>
    <hyperlink xmlns:r="http://schemas.openxmlformats.org/officeDocument/2006/relationships" ref="V25" r:id="rId69"/>
    <hyperlink xmlns:r="http://schemas.openxmlformats.org/officeDocument/2006/relationships" ref="W25" r:id="rId70"/>
    <hyperlink xmlns:r="http://schemas.openxmlformats.org/officeDocument/2006/relationships" ref="X25" r:id="rId71"/>
    <hyperlink xmlns:r="http://schemas.openxmlformats.org/officeDocument/2006/relationships" ref="V26" r:id="rId72"/>
    <hyperlink xmlns:r="http://schemas.openxmlformats.org/officeDocument/2006/relationships" ref="W26" r:id="rId73"/>
    <hyperlink xmlns:r="http://schemas.openxmlformats.org/officeDocument/2006/relationships" ref="X26" r:id="rId74"/>
    <hyperlink xmlns:r="http://schemas.openxmlformats.org/officeDocument/2006/relationships" ref="V27" r:id="rId75"/>
    <hyperlink xmlns:r="http://schemas.openxmlformats.org/officeDocument/2006/relationships" ref="W27" r:id="rId76"/>
    <hyperlink xmlns:r="http://schemas.openxmlformats.org/officeDocument/2006/relationships" ref="X27" r:id="rId77"/>
    <hyperlink xmlns:r="http://schemas.openxmlformats.org/officeDocument/2006/relationships" ref="V28" r:id="rId78"/>
    <hyperlink xmlns:r="http://schemas.openxmlformats.org/officeDocument/2006/relationships" ref="W28" r:id="rId79"/>
    <hyperlink xmlns:r="http://schemas.openxmlformats.org/officeDocument/2006/relationships" ref="X28" r:id="rId80"/>
    <hyperlink xmlns:r="http://schemas.openxmlformats.org/officeDocument/2006/relationships" ref="V29" r:id="rId81"/>
    <hyperlink xmlns:r="http://schemas.openxmlformats.org/officeDocument/2006/relationships" ref="W29" r:id="rId82"/>
    <hyperlink xmlns:r="http://schemas.openxmlformats.org/officeDocument/2006/relationships" ref="X29" r:id="rId83"/>
    <hyperlink xmlns:r="http://schemas.openxmlformats.org/officeDocument/2006/relationships" ref="V30" r:id="rId84"/>
    <hyperlink xmlns:r="http://schemas.openxmlformats.org/officeDocument/2006/relationships" ref="W30" r:id="rId85"/>
    <hyperlink xmlns:r="http://schemas.openxmlformats.org/officeDocument/2006/relationships" ref="X30" r:id="rId86"/>
    <hyperlink xmlns:r="http://schemas.openxmlformats.org/officeDocument/2006/relationships" ref="V31" r:id="rId87"/>
    <hyperlink xmlns:r="http://schemas.openxmlformats.org/officeDocument/2006/relationships" ref="W31" r:id="rId88"/>
    <hyperlink xmlns:r="http://schemas.openxmlformats.org/officeDocument/2006/relationships" ref="X31" r:id="rId89"/>
    <hyperlink xmlns:r="http://schemas.openxmlformats.org/officeDocument/2006/relationships" ref="V32" r:id="rId90"/>
    <hyperlink xmlns:r="http://schemas.openxmlformats.org/officeDocument/2006/relationships" ref="W32" r:id="rId91"/>
    <hyperlink xmlns:r="http://schemas.openxmlformats.org/officeDocument/2006/relationships" ref="X32" r:id="rId92"/>
    <hyperlink xmlns:r="http://schemas.openxmlformats.org/officeDocument/2006/relationships" ref="V33" r:id="rId93"/>
    <hyperlink xmlns:r="http://schemas.openxmlformats.org/officeDocument/2006/relationships" ref="W33" r:id="rId94"/>
    <hyperlink xmlns:r="http://schemas.openxmlformats.org/officeDocument/2006/relationships" ref="X33" r:id="rId95"/>
    <hyperlink xmlns:r="http://schemas.openxmlformats.org/officeDocument/2006/relationships" ref="V34" r:id="rId96"/>
    <hyperlink xmlns:r="http://schemas.openxmlformats.org/officeDocument/2006/relationships" ref="W34" r:id="rId97"/>
    <hyperlink xmlns:r="http://schemas.openxmlformats.org/officeDocument/2006/relationships" ref="X34" r:id="rId98"/>
    <hyperlink xmlns:r="http://schemas.openxmlformats.org/officeDocument/2006/relationships" ref="V35" r:id="rId99"/>
    <hyperlink xmlns:r="http://schemas.openxmlformats.org/officeDocument/2006/relationships" ref="W35" r:id="rId100"/>
    <hyperlink xmlns:r="http://schemas.openxmlformats.org/officeDocument/2006/relationships" ref="X35" r:id="rId101"/>
    <hyperlink xmlns:r="http://schemas.openxmlformats.org/officeDocument/2006/relationships" ref="V36" r:id="rId102"/>
    <hyperlink xmlns:r="http://schemas.openxmlformats.org/officeDocument/2006/relationships" ref="W36" r:id="rId103"/>
    <hyperlink xmlns:r="http://schemas.openxmlformats.org/officeDocument/2006/relationships" ref="X36" r:id="rId104"/>
    <hyperlink xmlns:r="http://schemas.openxmlformats.org/officeDocument/2006/relationships" ref="V37" r:id="rId105"/>
    <hyperlink xmlns:r="http://schemas.openxmlformats.org/officeDocument/2006/relationships" ref="W37" r:id="rId106"/>
    <hyperlink xmlns:r="http://schemas.openxmlformats.org/officeDocument/2006/relationships" ref="X37" r:id="rId107"/>
    <hyperlink xmlns:r="http://schemas.openxmlformats.org/officeDocument/2006/relationships" ref="V38" r:id="rId108"/>
    <hyperlink xmlns:r="http://schemas.openxmlformats.org/officeDocument/2006/relationships" ref="W38" r:id="rId109"/>
    <hyperlink xmlns:r="http://schemas.openxmlformats.org/officeDocument/2006/relationships" ref="X38" r:id="rId110"/>
    <hyperlink xmlns:r="http://schemas.openxmlformats.org/officeDocument/2006/relationships" ref="V39" r:id="rId111"/>
    <hyperlink xmlns:r="http://schemas.openxmlformats.org/officeDocument/2006/relationships" ref="W39" r:id="rId112"/>
    <hyperlink xmlns:r="http://schemas.openxmlformats.org/officeDocument/2006/relationships" ref="X39" r:id="rId113"/>
    <hyperlink xmlns:r="http://schemas.openxmlformats.org/officeDocument/2006/relationships" ref="V40" r:id="rId114"/>
    <hyperlink xmlns:r="http://schemas.openxmlformats.org/officeDocument/2006/relationships" ref="W40" r:id="rId115"/>
    <hyperlink xmlns:r="http://schemas.openxmlformats.org/officeDocument/2006/relationships" ref="X40" r:id="rId116"/>
    <hyperlink xmlns:r="http://schemas.openxmlformats.org/officeDocument/2006/relationships" ref="V41" r:id="rId117"/>
    <hyperlink xmlns:r="http://schemas.openxmlformats.org/officeDocument/2006/relationships" ref="W41" r:id="rId118"/>
    <hyperlink xmlns:r="http://schemas.openxmlformats.org/officeDocument/2006/relationships" ref="X41" r:id="rId119"/>
    <hyperlink xmlns:r="http://schemas.openxmlformats.org/officeDocument/2006/relationships" ref="V42" r:id="rId120"/>
    <hyperlink xmlns:r="http://schemas.openxmlformats.org/officeDocument/2006/relationships" ref="W42" r:id="rId121"/>
    <hyperlink xmlns:r="http://schemas.openxmlformats.org/officeDocument/2006/relationships" ref="X42" r:id="rId122"/>
    <hyperlink xmlns:r="http://schemas.openxmlformats.org/officeDocument/2006/relationships" ref="V43" r:id="rId123"/>
    <hyperlink xmlns:r="http://schemas.openxmlformats.org/officeDocument/2006/relationships" ref="W43" r:id="rId124"/>
    <hyperlink xmlns:r="http://schemas.openxmlformats.org/officeDocument/2006/relationships" ref="X43" r:id="rId125"/>
    <hyperlink xmlns:r="http://schemas.openxmlformats.org/officeDocument/2006/relationships" ref="V44" r:id="rId126"/>
    <hyperlink xmlns:r="http://schemas.openxmlformats.org/officeDocument/2006/relationships" ref="W44" r:id="rId127"/>
    <hyperlink xmlns:r="http://schemas.openxmlformats.org/officeDocument/2006/relationships" ref="X44" r:id="rId128"/>
    <hyperlink xmlns:r="http://schemas.openxmlformats.org/officeDocument/2006/relationships" ref="V45" r:id="rId129"/>
    <hyperlink xmlns:r="http://schemas.openxmlformats.org/officeDocument/2006/relationships" ref="W45" r:id="rId130"/>
    <hyperlink xmlns:r="http://schemas.openxmlformats.org/officeDocument/2006/relationships" ref="X45" r:id="rId131"/>
    <hyperlink xmlns:r="http://schemas.openxmlformats.org/officeDocument/2006/relationships" ref="V46" r:id="rId132"/>
    <hyperlink xmlns:r="http://schemas.openxmlformats.org/officeDocument/2006/relationships" ref="W46" r:id="rId133"/>
    <hyperlink xmlns:r="http://schemas.openxmlformats.org/officeDocument/2006/relationships" ref="X46" r:id="rId134"/>
    <hyperlink xmlns:r="http://schemas.openxmlformats.org/officeDocument/2006/relationships" ref="V47" r:id="rId135"/>
    <hyperlink xmlns:r="http://schemas.openxmlformats.org/officeDocument/2006/relationships" ref="W47" r:id="rId136"/>
    <hyperlink xmlns:r="http://schemas.openxmlformats.org/officeDocument/2006/relationships" ref="X47" r:id="rId137"/>
    <hyperlink xmlns:r="http://schemas.openxmlformats.org/officeDocument/2006/relationships" ref="V48" r:id="rId138"/>
    <hyperlink xmlns:r="http://schemas.openxmlformats.org/officeDocument/2006/relationships" ref="W48" r:id="rId139"/>
    <hyperlink xmlns:r="http://schemas.openxmlformats.org/officeDocument/2006/relationships" ref="X48" r:id="rId140"/>
    <hyperlink xmlns:r="http://schemas.openxmlformats.org/officeDocument/2006/relationships" ref="V49" r:id="rId141"/>
    <hyperlink xmlns:r="http://schemas.openxmlformats.org/officeDocument/2006/relationships" ref="W49" r:id="rId142"/>
    <hyperlink xmlns:r="http://schemas.openxmlformats.org/officeDocument/2006/relationships" ref="X49" r:id="rId143"/>
    <hyperlink xmlns:r="http://schemas.openxmlformats.org/officeDocument/2006/relationships" ref="V50" r:id="rId144"/>
    <hyperlink xmlns:r="http://schemas.openxmlformats.org/officeDocument/2006/relationships" ref="W50" r:id="rId145"/>
    <hyperlink xmlns:r="http://schemas.openxmlformats.org/officeDocument/2006/relationships" ref="X50" r:id="rId146"/>
    <hyperlink xmlns:r="http://schemas.openxmlformats.org/officeDocument/2006/relationships" ref="V51" r:id="rId147"/>
    <hyperlink xmlns:r="http://schemas.openxmlformats.org/officeDocument/2006/relationships" ref="W51" r:id="rId148"/>
    <hyperlink xmlns:r="http://schemas.openxmlformats.org/officeDocument/2006/relationships" ref="X51" r:id="rId149"/>
    <hyperlink xmlns:r="http://schemas.openxmlformats.org/officeDocument/2006/relationships" ref="V52" r:id="rId150"/>
    <hyperlink xmlns:r="http://schemas.openxmlformats.org/officeDocument/2006/relationships" ref="W52" r:id="rId151"/>
    <hyperlink xmlns:r="http://schemas.openxmlformats.org/officeDocument/2006/relationships" ref="X52" r:id="rId152"/>
    <hyperlink xmlns:r="http://schemas.openxmlformats.org/officeDocument/2006/relationships" ref="V53" r:id="rId153"/>
    <hyperlink xmlns:r="http://schemas.openxmlformats.org/officeDocument/2006/relationships" ref="W53" r:id="rId154"/>
    <hyperlink xmlns:r="http://schemas.openxmlformats.org/officeDocument/2006/relationships" ref="X53" r:id="rId155"/>
    <hyperlink xmlns:r="http://schemas.openxmlformats.org/officeDocument/2006/relationships" ref="V54" r:id="rId156"/>
    <hyperlink xmlns:r="http://schemas.openxmlformats.org/officeDocument/2006/relationships" ref="X54" r:id="rId157"/>
    <hyperlink xmlns:r="http://schemas.openxmlformats.org/officeDocument/2006/relationships" ref="V55" r:id="rId158"/>
    <hyperlink xmlns:r="http://schemas.openxmlformats.org/officeDocument/2006/relationships" ref="W55" r:id="rId159"/>
    <hyperlink xmlns:r="http://schemas.openxmlformats.org/officeDocument/2006/relationships" ref="X55" r:id="rId160"/>
    <hyperlink xmlns:r="http://schemas.openxmlformats.org/officeDocument/2006/relationships" ref="V56" r:id="rId161"/>
    <hyperlink xmlns:r="http://schemas.openxmlformats.org/officeDocument/2006/relationships" ref="W56" r:id="rId162"/>
    <hyperlink xmlns:r="http://schemas.openxmlformats.org/officeDocument/2006/relationships" ref="X56" r:id="rId163"/>
    <hyperlink xmlns:r="http://schemas.openxmlformats.org/officeDocument/2006/relationships" ref="V57" r:id="rId164"/>
    <hyperlink xmlns:r="http://schemas.openxmlformats.org/officeDocument/2006/relationships" ref="W57" r:id="rId165"/>
    <hyperlink xmlns:r="http://schemas.openxmlformats.org/officeDocument/2006/relationships" ref="X57" r:id="rId166"/>
    <hyperlink xmlns:r="http://schemas.openxmlformats.org/officeDocument/2006/relationships" ref="V58" r:id="rId167"/>
    <hyperlink xmlns:r="http://schemas.openxmlformats.org/officeDocument/2006/relationships" ref="W58" r:id="rId168"/>
    <hyperlink xmlns:r="http://schemas.openxmlformats.org/officeDocument/2006/relationships" ref="X58" r:id="rId169"/>
    <hyperlink xmlns:r="http://schemas.openxmlformats.org/officeDocument/2006/relationships" ref="V59" r:id="rId170"/>
    <hyperlink xmlns:r="http://schemas.openxmlformats.org/officeDocument/2006/relationships" ref="W59" r:id="rId171"/>
    <hyperlink xmlns:r="http://schemas.openxmlformats.org/officeDocument/2006/relationships" ref="X59" r:id="rId172"/>
    <hyperlink xmlns:r="http://schemas.openxmlformats.org/officeDocument/2006/relationships" ref="V60" r:id="rId173"/>
    <hyperlink xmlns:r="http://schemas.openxmlformats.org/officeDocument/2006/relationships" ref="W60" r:id="rId174"/>
    <hyperlink xmlns:r="http://schemas.openxmlformats.org/officeDocument/2006/relationships" ref="X60" r:id="rId175"/>
    <hyperlink xmlns:r="http://schemas.openxmlformats.org/officeDocument/2006/relationships" ref="V61" r:id="rId176"/>
    <hyperlink xmlns:r="http://schemas.openxmlformats.org/officeDocument/2006/relationships" ref="W61" r:id="rId177"/>
    <hyperlink xmlns:r="http://schemas.openxmlformats.org/officeDocument/2006/relationships" ref="X61" r:id="rId178"/>
    <hyperlink xmlns:r="http://schemas.openxmlformats.org/officeDocument/2006/relationships" ref="V62" r:id="rId179"/>
    <hyperlink xmlns:r="http://schemas.openxmlformats.org/officeDocument/2006/relationships" ref="W62" r:id="rId180"/>
    <hyperlink xmlns:r="http://schemas.openxmlformats.org/officeDocument/2006/relationships" ref="X62" r:id="rId181"/>
    <hyperlink xmlns:r="http://schemas.openxmlformats.org/officeDocument/2006/relationships" ref="V63" r:id="rId182"/>
    <hyperlink xmlns:r="http://schemas.openxmlformats.org/officeDocument/2006/relationships" ref="W63" r:id="rId183"/>
    <hyperlink xmlns:r="http://schemas.openxmlformats.org/officeDocument/2006/relationships" ref="X63" r:id="rId184"/>
    <hyperlink xmlns:r="http://schemas.openxmlformats.org/officeDocument/2006/relationships" ref="V64" r:id="rId185"/>
    <hyperlink xmlns:r="http://schemas.openxmlformats.org/officeDocument/2006/relationships" ref="W64" r:id="rId186"/>
    <hyperlink xmlns:r="http://schemas.openxmlformats.org/officeDocument/2006/relationships" ref="X64" r:id="rId187"/>
    <hyperlink xmlns:r="http://schemas.openxmlformats.org/officeDocument/2006/relationships" ref="V65" r:id="rId188"/>
    <hyperlink xmlns:r="http://schemas.openxmlformats.org/officeDocument/2006/relationships" ref="W65" r:id="rId189"/>
    <hyperlink xmlns:r="http://schemas.openxmlformats.org/officeDocument/2006/relationships" ref="X65" r:id="rId190"/>
    <hyperlink xmlns:r="http://schemas.openxmlformats.org/officeDocument/2006/relationships" ref="V66" r:id="rId191"/>
    <hyperlink xmlns:r="http://schemas.openxmlformats.org/officeDocument/2006/relationships" ref="W66" r:id="rId192"/>
    <hyperlink xmlns:r="http://schemas.openxmlformats.org/officeDocument/2006/relationships" ref="X66" r:id="rId193"/>
    <hyperlink xmlns:r="http://schemas.openxmlformats.org/officeDocument/2006/relationships" ref="V67" r:id="rId194"/>
    <hyperlink xmlns:r="http://schemas.openxmlformats.org/officeDocument/2006/relationships" ref="W67" r:id="rId195"/>
    <hyperlink xmlns:r="http://schemas.openxmlformats.org/officeDocument/2006/relationships" ref="X67" r:id="rId196"/>
    <hyperlink xmlns:r="http://schemas.openxmlformats.org/officeDocument/2006/relationships" ref="V68" r:id="rId197"/>
    <hyperlink xmlns:r="http://schemas.openxmlformats.org/officeDocument/2006/relationships" ref="W68" r:id="rId198"/>
    <hyperlink xmlns:r="http://schemas.openxmlformats.org/officeDocument/2006/relationships" ref="X68" r:id="rId199"/>
    <hyperlink xmlns:r="http://schemas.openxmlformats.org/officeDocument/2006/relationships" ref="V69" r:id="rId200"/>
    <hyperlink xmlns:r="http://schemas.openxmlformats.org/officeDocument/2006/relationships" ref="W69" r:id="rId201"/>
    <hyperlink xmlns:r="http://schemas.openxmlformats.org/officeDocument/2006/relationships" ref="X69" r:id="rId202"/>
    <hyperlink xmlns:r="http://schemas.openxmlformats.org/officeDocument/2006/relationships" ref="V70" r:id="rId203"/>
    <hyperlink xmlns:r="http://schemas.openxmlformats.org/officeDocument/2006/relationships" ref="W70" r:id="rId204"/>
    <hyperlink xmlns:r="http://schemas.openxmlformats.org/officeDocument/2006/relationships" ref="X70" r:id="rId205"/>
    <hyperlink xmlns:r="http://schemas.openxmlformats.org/officeDocument/2006/relationships" ref="V71" r:id="rId206"/>
    <hyperlink xmlns:r="http://schemas.openxmlformats.org/officeDocument/2006/relationships" ref="W71" r:id="rId207"/>
    <hyperlink xmlns:r="http://schemas.openxmlformats.org/officeDocument/2006/relationships" ref="X71" r:id="rId208"/>
    <hyperlink xmlns:r="http://schemas.openxmlformats.org/officeDocument/2006/relationships" ref="V72" r:id="rId209"/>
    <hyperlink xmlns:r="http://schemas.openxmlformats.org/officeDocument/2006/relationships" ref="W72" r:id="rId210"/>
    <hyperlink xmlns:r="http://schemas.openxmlformats.org/officeDocument/2006/relationships" ref="X72" r:id="rId211"/>
    <hyperlink xmlns:r="http://schemas.openxmlformats.org/officeDocument/2006/relationships" ref="V73" r:id="rId212"/>
    <hyperlink xmlns:r="http://schemas.openxmlformats.org/officeDocument/2006/relationships" ref="W73" r:id="rId213"/>
    <hyperlink xmlns:r="http://schemas.openxmlformats.org/officeDocument/2006/relationships" ref="X73" r:id="rId214"/>
    <hyperlink xmlns:r="http://schemas.openxmlformats.org/officeDocument/2006/relationships" ref="V74" r:id="rId215"/>
    <hyperlink xmlns:r="http://schemas.openxmlformats.org/officeDocument/2006/relationships" ref="W74" r:id="rId216"/>
    <hyperlink xmlns:r="http://schemas.openxmlformats.org/officeDocument/2006/relationships" ref="X74" r:id="rId217"/>
    <hyperlink xmlns:r="http://schemas.openxmlformats.org/officeDocument/2006/relationships" ref="V75" r:id="rId218"/>
    <hyperlink xmlns:r="http://schemas.openxmlformats.org/officeDocument/2006/relationships" ref="W75" r:id="rId219"/>
    <hyperlink xmlns:r="http://schemas.openxmlformats.org/officeDocument/2006/relationships" ref="X75" r:id="rId220"/>
    <hyperlink xmlns:r="http://schemas.openxmlformats.org/officeDocument/2006/relationships" ref="V76" r:id="rId221"/>
    <hyperlink xmlns:r="http://schemas.openxmlformats.org/officeDocument/2006/relationships" ref="W76" r:id="rId222"/>
    <hyperlink xmlns:r="http://schemas.openxmlformats.org/officeDocument/2006/relationships" ref="X76" r:id="rId223"/>
    <hyperlink xmlns:r="http://schemas.openxmlformats.org/officeDocument/2006/relationships" ref="V77" r:id="rId224"/>
    <hyperlink xmlns:r="http://schemas.openxmlformats.org/officeDocument/2006/relationships" ref="W77" r:id="rId225"/>
    <hyperlink xmlns:r="http://schemas.openxmlformats.org/officeDocument/2006/relationships" ref="X77" r:id="rId226"/>
    <hyperlink xmlns:r="http://schemas.openxmlformats.org/officeDocument/2006/relationships" ref="V78" r:id="rId227"/>
    <hyperlink xmlns:r="http://schemas.openxmlformats.org/officeDocument/2006/relationships" ref="W78" r:id="rId228"/>
    <hyperlink xmlns:r="http://schemas.openxmlformats.org/officeDocument/2006/relationships" ref="X78" r:id="rId229"/>
    <hyperlink xmlns:r="http://schemas.openxmlformats.org/officeDocument/2006/relationships" ref="V79" r:id="rId230"/>
    <hyperlink xmlns:r="http://schemas.openxmlformats.org/officeDocument/2006/relationships" ref="W79" r:id="rId231"/>
    <hyperlink xmlns:r="http://schemas.openxmlformats.org/officeDocument/2006/relationships" ref="X79" r:id="rId232"/>
    <hyperlink xmlns:r="http://schemas.openxmlformats.org/officeDocument/2006/relationships" ref="V80" r:id="rId233"/>
    <hyperlink xmlns:r="http://schemas.openxmlformats.org/officeDocument/2006/relationships" ref="W80" r:id="rId234"/>
    <hyperlink xmlns:r="http://schemas.openxmlformats.org/officeDocument/2006/relationships" ref="X80" r:id="rId235"/>
    <hyperlink xmlns:r="http://schemas.openxmlformats.org/officeDocument/2006/relationships" ref="V81" r:id="rId236"/>
    <hyperlink xmlns:r="http://schemas.openxmlformats.org/officeDocument/2006/relationships" ref="W81" r:id="rId237"/>
    <hyperlink xmlns:r="http://schemas.openxmlformats.org/officeDocument/2006/relationships" ref="X81" r:id="rId238"/>
    <hyperlink xmlns:r="http://schemas.openxmlformats.org/officeDocument/2006/relationships" ref="V82" r:id="rId239"/>
    <hyperlink xmlns:r="http://schemas.openxmlformats.org/officeDocument/2006/relationships" ref="W82" r:id="rId240"/>
    <hyperlink xmlns:r="http://schemas.openxmlformats.org/officeDocument/2006/relationships" ref="X82" r:id="rId241"/>
    <hyperlink xmlns:r="http://schemas.openxmlformats.org/officeDocument/2006/relationships" ref="V83" r:id="rId242"/>
    <hyperlink xmlns:r="http://schemas.openxmlformats.org/officeDocument/2006/relationships" ref="W83" r:id="rId243"/>
    <hyperlink xmlns:r="http://schemas.openxmlformats.org/officeDocument/2006/relationships" ref="X83" r:id="rId244"/>
    <hyperlink xmlns:r="http://schemas.openxmlformats.org/officeDocument/2006/relationships" ref="V84" r:id="rId245"/>
    <hyperlink xmlns:r="http://schemas.openxmlformats.org/officeDocument/2006/relationships" ref="W84" r:id="rId246"/>
    <hyperlink xmlns:r="http://schemas.openxmlformats.org/officeDocument/2006/relationships" ref="X84" r:id="rId247"/>
    <hyperlink xmlns:r="http://schemas.openxmlformats.org/officeDocument/2006/relationships" ref="V85" r:id="rId248"/>
    <hyperlink xmlns:r="http://schemas.openxmlformats.org/officeDocument/2006/relationships" ref="W85" r:id="rId249"/>
    <hyperlink xmlns:r="http://schemas.openxmlformats.org/officeDocument/2006/relationships" ref="X85" r:id="rId250"/>
    <hyperlink xmlns:r="http://schemas.openxmlformats.org/officeDocument/2006/relationships" ref="V86" r:id="rId251"/>
    <hyperlink xmlns:r="http://schemas.openxmlformats.org/officeDocument/2006/relationships" ref="W86" r:id="rId252"/>
    <hyperlink xmlns:r="http://schemas.openxmlformats.org/officeDocument/2006/relationships" ref="X86" r:id="rId253"/>
    <hyperlink xmlns:r="http://schemas.openxmlformats.org/officeDocument/2006/relationships" ref="V87" r:id="rId254"/>
    <hyperlink xmlns:r="http://schemas.openxmlformats.org/officeDocument/2006/relationships" ref="W87" r:id="rId255"/>
    <hyperlink xmlns:r="http://schemas.openxmlformats.org/officeDocument/2006/relationships" ref="X87" r:id="rId256"/>
    <hyperlink xmlns:r="http://schemas.openxmlformats.org/officeDocument/2006/relationships" ref="V88" r:id="rId257"/>
    <hyperlink xmlns:r="http://schemas.openxmlformats.org/officeDocument/2006/relationships" ref="W88" r:id="rId258"/>
    <hyperlink xmlns:r="http://schemas.openxmlformats.org/officeDocument/2006/relationships" ref="X88" r:id="rId259"/>
    <hyperlink xmlns:r="http://schemas.openxmlformats.org/officeDocument/2006/relationships" ref="V89" r:id="rId260"/>
    <hyperlink xmlns:r="http://schemas.openxmlformats.org/officeDocument/2006/relationships" ref="W89" r:id="rId261"/>
    <hyperlink xmlns:r="http://schemas.openxmlformats.org/officeDocument/2006/relationships" ref="X89" r:id="rId262"/>
    <hyperlink xmlns:r="http://schemas.openxmlformats.org/officeDocument/2006/relationships" ref="V90" r:id="rId263"/>
    <hyperlink xmlns:r="http://schemas.openxmlformats.org/officeDocument/2006/relationships" ref="W90" r:id="rId264"/>
    <hyperlink xmlns:r="http://schemas.openxmlformats.org/officeDocument/2006/relationships" ref="X90" r:id="rId265"/>
    <hyperlink xmlns:r="http://schemas.openxmlformats.org/officeDocument/2006/relationships" ref="V91" r:id="rId266"/>
    <hyperlink xmlns:r="http://schemas.openxmlformats.org/officeDocument/2006/relationships" ref="W91" r:id="rId267"/>
    <hyperlink xmlns:r="http://schemas.openxmlformats.org/officeDocument/2006/relationships" ref="X91" r:id="rId268"/>
    <hyperlink xmlns:r="http://schemas.openxmlformats.org/officeDocument/2006/relationships" ref="V92" r:id="rId269"/>
    <hyperlink xmlns:r="http://schemas.openxmlformats.org/officeDocument/2006/relationships" ref="W92" r:id="rId270"/>
    <hyperlink xmlns:r="http://schemas.openxmlformats.org/officeDocument/2006/relationships" ref="X92" r:id="rId271"/>
    <hyperlink xmlns:r="http://schemas.openxmlformats.org/officeDocument/2006/relationships" ref="V93" r:id="rId272"/>
    <hyperlink xmlns:r="http://schemas.openxmlformats.org/officeDocument/2006/relationships" ref="W93" r:id="rId273"/>
    <hyperlink xmlns:r="http://schemas.openxmlformats.org/officeDocument/2006/relationships" ref="X93" r:id="rId274"/>
    <hyperlink xmlns:r="http://schemas.openxmlformats.org/officeDocument/2006/relationships" ref="V94" r:id="rId275"/>
    <hyperlink xmlns:r="http://schemas.openxmlformats.org/officeDocument/2006/relationships" ref="W94" r:id="rId276"/>
    <hyperlink xmlns:r="http://schemas.openxmlformats.org/officeDocument/2006/relationships" ref="X94" r:id="rId277"/>
    <hyperlink xmlns:r="http://schemas.openxmlformats.org/officeDocument/2006/relationships" ref="V95" r:id="rId278"/>
    <hyperlink xmlns:r="http://schemas.openxmlformats.org/officeDocument/2006/relationships" ref="W95" r:id="rId279"/>
    <hyperlink xmlns:r="http://schemas.openxmlformats.org/officeDocument/2006/relationships" ref="X95" r:id="rId280"/>
    <hyperlink xmlns:r="http://schemas.openxmlformats.org/officeDocument/2006/relationships" ref="V96" r:id="rId281"/>
    <hyperlink xmlns:r="http://schemas.openxmlformats.org/officeDocument/2006/relationships" ref="W96" r:id="rId282"/>
    <hyperlink xmlns:r="http://schemas.openxmlformats.org/officeDocument/2006/relationships" ref="X96" r:id="rId283"/>
    <hyperlink xmlns:r="http://schemas.openxmlformats.org/officeDocument/2006/relationships" ref="V97" r:id="rId284"/>
    <hyperlink xmlns:r="http://schemas.openxmlformats.org/officeDocument/2006/relationships" ref="W97" r:id="rId285"/>
    <hyperlink xmlns:r="http://schemas.openxmlformats.org/officeDocument/2006/relationships" ref="X97" r:id="rId286"/>
    <hyperlink xmlns:r="http://schemas.openxmlformats.org/officeDocument/2006/relationships" ref="V98" r:id="rId287"/>
    <hyperlink xmlns:r="http://schemas.openxmlformats.org/officeDocument/2006/relationships" ref="W98" r:id="rId288"/>
    <hyperlink xmlns:r="http://schemas.openxmlformats.org/officeDocument/2006/relationships" ref="X98" r:id="rId289"/>
    <hyperlink xmlns:r="http://schemas.openxmlformats.org/officeDocument/2006/relationships" ref="V99" r:id="rId290"/>
    <hyperlink xmlns:r="http://schemas.openxmlformats.org/officeDocument/2006/relationships" ref="W99" r:id="rId291"/>
    <hyperlink xmlns:r="http://schemas.openxmlformats.org/officeDocument/2006/relationships" ref="X99" r:id="rId292"/>
    <hyperlink xmlns:r="http://schemas.openxmlformats.org/officeDocument/2006/relationships" ref="V100" r:id="rId293"/>
    <hyperlink xmlns:r="http://schemas.openxmlformats.org/officeDocument/2006/relationships" ref="W100" r:id="rId294"/>
    <hyperlink xmlns:r="http://schemas.openxmlformats.org/officeDocument/2006/relationships" ref="X100" r:id="rId295"/>
    <hyperlink xmlns:r="http://schemas.openxmlformats.org/officeDocument/2006/relationships" ref="V101" r:id="rId296"/>
    <hyperlink xmlns:r="http://schemas.openxmlformats.org/officeDocument/2006/relationships" ref="W101" r:id="rId297"/>
    <hyperlink xmlns:r="http://schemas.openxmlformats.org/officeDocument/2006/relationships" ref="X101" r:id="rId298"/>
    <hyperlink xmlns:r="http://schemas.openxmlformats.org/officeDocument/2006/relationships" ref="V102" r:id="rId299"/>
    <hyperlink xmlns:r="http://schemas.openxmlformats.org/officeDocument/2006/relationships" ref="W102" r:id="rId300"/>
    <hyperlink xmlns:r="http://schemas.openxmlformats.org/officeDocument/2006/relationships" ref="X102" r:id="rId301"/>
    <hyperlink xmlns:r="http://schemas.openxmlformats.org/officeDocument/2006/relationships" ref="V103" r:id="rId302"/>
    <hyperlink xmlns:r="http://schemas.openxmlformats.org/officeDocument/2006/relationships" ref="W103" r:id="rId303"/>
    <hyperlink xmlns:r="http://schemas.openxmlformats.org/officeDocument/2006/relationships" ref="X103" r:id="rId304"/>
    <hyperlink xmlns:r="http://schemas.openxmlformats.org/officeDocument/2006/relationships" ref="V104" r:id="rId305"/>
    <hyperlink xmlns:r="http://schemas.openxmlformats.org/officeDocument/2006/relationships" ref="W104" r:id="rId306"/>
    <hyperlink xmlns:r="http://schemas.openxmlformats.org/officeDocument/2006/relationships" ref="X104" r:id="rId307"/>
    <hyperlink xmlns:r="http://schemas.openxmlformats.org/officeDocument/2006/relationships" ref="V105" r:id="rId308"/>
    <hyperlink xmlns:r="http://schemas.openxmlformats.org/officeDocument/2006/relationships" ref="W105" r:id="rId309"/>
    <hyperlink xmlns:r="http://schemas.openxmlformats.org/officeDocument/2006/relationships" ref="X105" r:id="rId310"/>
    <hyperlink xmlns:r="http://schemas.openxmlformats.org/officeDocument/2006/relationships" ref="V106" r:id="rId311"/>
    <hyperlink xmlns:r="http://schemas.openxmlformats.org/officeDocument/2006/relationships" ref="X106" r:id="rId312"/>
    <hyperlink xmlns:r="http://schemas.openxmlformats.org/officeDocument/2006/relationships" ref="V107" r:id="rId313"/>
    <hyperlink xmlns:r="http://schemas.openxmlformats.org/officeDocument/2006/relationships" ref="W107" r:id="rId314"/>
    <hyperlink xmlns:r="http://schemas.openxmlformats.org/officeDocument/2006/relationships" ref="X107" r:id="rId315"/>
    <hyperlink xmlns:r="http://schemas.openxmlformats.org/officeDocument/2006/relationships" ref="V108" r:id="rId316"/>
    <hyperlink xmlns:r="http://schemas.openxmlformats.org/officeDocument/2006/relationships" ref="W108" r:id="rId317"/>
    <hyperlink xmlns:r="http://schemas.openxmlformats.org/officeDocument/2006/relationships" ref="X108" r:id="rId318"/>
    <hyperlink xmlns:r="http://schemas.openxmlformats.org/officeDocument/2006/relationships" ref="V109" r:id="rId319"/>
    <hyperlink xmlns:r="http://schemas.openxmlformats.org/officeDocument/2006/relationships" ref="W109" r:id="rId320"/>
    <hyperlink xmlns:r="http://schemas.openxmlformats.org/officeDocument/2006/relationships" ref="X109" r:id="rId321"/>
    <hyperlink xmlns:r="http://schemas.openxmlformats.org/officeDocument/2006/relationships" ref="V110" r:id="rId322"/>
    <hyperlink xmlns:r="http://schemas.openxmlformats.org/officeDocument/2006/relationships" ref="W110" r:id="rId323"/>
    <hyperlink xmlns:r="http://schemas.openxmlformats.org/officeDocument/2006/relationships" ref="X110" r:id="rId324"/>
    <hyperlink xmlns:r="http://schemas.openxmlformats.org/officeDocument/2006/relationships" ref="V111" r:id="rId325"/>
    <hyperlink xmlns:r="http://schemas.openxmlformats.org/officeDocument/2006/relationships" ref="W111" r:id="rId326"/>
    <hyperlink xmlns:r="http://schemas.openxmlformats.org/officeDocument/2006/relationships" ref="X111" r:id="rId327"/>
    <hyperlink xmlns:r="http://schemas.openxmlformats.org/officeDocument/2006/relationships" ref="V112" r:id="rId328"/>
    <hyperlink xmlns:r="http://schemas.openxmlformats.org/officeDocument/2006/relationships" ref="W112" r:id="rId329"/>
    <hyperlink xmlns:r="http://schemas.openxmlformats.org/officeDocument/2006/relationships" ref="X112" r:id="rId330"/>
    <hyperlink xmlns:r="http://schemas.openxmlformats.org/officeDocument/2006/relationships" ref="V113" r:id="rId331"/>
    <hyperlink xmlns:r="http://schemas.openxmlformats.org/officeDocument/2006/relationships" ref="W113" r:id="rId332"/>
    <hyperlink xmlns:r="http://schemas.openxmlformats.org/officeDocument/2006/relationships" ref="X113" r:id="rId333"/>
    <hyperlink xmlns:r="http://schemas.openxmlformats.org/officeDocument/2006/relationships" ref="V114" r:id="rId334"/>
    <hyperlink xmlns:r="http://schemas.openxmlformats.org/officeDocument/2006/relationships" ref="W114" r:id="rId335"/>
    <hyperlink xmlns:r="http://schemas.openxmlformats.org/officeDocument/2006/relationships" ref="X114" r:id="rId336"/>
    <hyperlink xmlns:r="http://schemas.openxmlformats.org/officeDocument/2006/relationships" ref="V115" r:id="rId337"/>
    <hyperlink xmlns:r="http://schemas.openxmlformats.org/officeDocument/2006/relationships" ref="X115" r:id="rId338"/>
    <hyperlink xmlns:r="http://schemas.openxmlformats.org/officeDocument/2006/relationships" ref="V116" r:id="rId339"/>
    <hyperlink xmlns:r="http://schemas.openxmlformats.org/officeDocument/2006/relationships" ref="W116" r:id="rId340"/>
    <hyperlink xmlns:r="http://schemas.openxmlformats.org/officeDocument/2006/relationships" ref="X116" r:id="rId341"/>
    <hyperlink xmlns:r="http://schemas.openxmlformats.org/officeDocument/2006/relationships" ref="V117" r:id="rId342"/>
    <hyperlink xmlns:r="http://schemas.openxmlformats.org/officeDocument/2006/relationships" ref="W117" r:id="rId343"/>
    <hyperlink xmlns:r="http://schemas.openxmlformats.org/officeDocument/2006/relationships" ref="X117" r:id="rId344"/>
    <hyperlink xmlns:r="http://schemas.openxmlformats.org/officeDocument/2006/relationships" ref="V118" r:id="rId345"/>
    <hyperlink xmlns:r="http://schemas.openxmlformats.org/officeDocument/2006/relationships" ref="W118" r:id="rId346"/>
    <hyperlink xmlns:r="http://schemas.openxmlformats.org/officeDocument/2006/relationships" ref="X118" r:id="rId347"/>
    <hyperlink xmlns:r="http://schemas.openxmlformats.org/officeDocument/2006/relationships" ref="V119" r:id="rId348"/>
    <hyperlink xmlns:r="http://schemas.openxmlformats.org/officeDocument/2006/relationships" ref="W119" r:id="rId349"/>
    <hyperlink xmlns:r="http://schemas.openxmlformats.org/officeDocument/2006/relationships" ref="X119" r:id="rId350"/>
    <hyperlink xmlns:r="http://schemas.openxmlformats.org/officeDocument/2006/relationships" ref="V120" r:id="rId351"/>
    <hyperlink xmlns:r="http://schemas.openxmlformats.org/officeDocument/2006/relationships" ref="W120" r:id="rId352"/>
    <hyperlink xmlns:r="http://schemas.openxmlformats.org/officeDocument/2006/relationships" ref="X120" r:id="rId353"/>
    <hyperlink xmlns:r="http://schemas.openxmlformats.org/officeDocument/2006/relationships" ref="V121" r:id="rId354"/>
    <hyperlink xmlns:r="http://schemas.openxmlformats.org/officeDocument/2006/relationships" ref="W121" r:id="rId355"/>
    <hyperlink xmlns:r="http://schemas.openxmlformats.org/officeDocument/2006/relationships" ref="X121" r:id="rId356"/>
    <hyperlink xmlns:r="http://schemas.openxmlformats.org/officeDocument/2006/relationships" ref="V122" r:id="rId357"/>
    <hyperlink xmlns:r="http://schemas.openxmlformats.org/officeDocument/2006/relationships" ref="W122" r:id="rId358"/>
    <hyperlink xmlns:r="http://schemas.openxmlformats.org/officeDocument/2006/relationships" ref="X122" r:id="rId359"/>
    <hyperlink xmlns:r="http://schemas.openxmlformats.org/officeDocument/2006/relationships" ref="V123" r:id="rId360"/>
    <hyperlink xmlns:r="http://schemas.openxmlformats.org/officeDocument/2006/relationships" ref="W123" r:id="rId361"/>
    <hyperlink xmlns:r="http://schemas.openxmlformats.org/officeDocument/2006/relationships" ref="X123" r:id="rId362"/>
    <hyperlink xmlns:r="http://schemas.openxmlformats.org/officeDocument/2006/relationships" ref="V124" r:id="rId363"/>
    <hyperlink xmlns:r="http://schemas.openxmlformats.org/officeDocument/2006/relationships" ref="W124" r:id="rId364"/>
    <hyperlink xmlns:r="http://schemas.openxmlformats.org/officeDocument/2006/relationships" ref="X124" r:id="rId365"/>
    <hyperlink xmlns:r="http://schemas.openxmlformats.org/officeDocument/2006/relationships" ref="V125" r:id="rId366"/>
    <hyperlink xmlns:r="http://schemas.openxmlformats.org/officeDocument/2006/relationships" ref="W125" r:id="rId367"/>
    <hyperlink xmlns:r="http://schemas.openxmlformats.org/officeDocument/2006/relationships" ref="X125" r:id="rId368"/>
    <hyperlink xmlns:r="http://schemas.openxmlformats.org/officeDocument/2006/relationships" ref="V126" r:id="rId369"/>
    <hyperlink xmlns:r="http://schemas.openxmlformats.org/officeDocument/2006/relationships" ref="W126" r:id="rId370"/>
    <hyperlink xmlns:r="http://schemas.openxmlformats.org/officeDocument/2006/relationships" ref="X126" r:id="rId371"/>
    <hyperlink xmlns:r="http://schemas.openxmlformats.org/officeDocument/2006/relationships" ref="V127" r:id="rId372"/>
    <hyperlink xmlns:r="http://schemas.openxmlformats.org/officeDocument/2006/relationships" ref="W127" r:id="rId373"/>
    <hyperlink xmlns:r="http://schemas.openxmlformats.org/officeDocument/2006/relationships" ref="X127" r:id="rId374"/>
    <hyperlink xmlns:r="http://schemas.openxmlformats.org/officeDocument/2006/relationships" ref="V128" r:id="rId375"/>
    <hyperlink xmlns:r="http://schemas.openxmlformats.org/officeDocument/2006/relationships" ref="W128" r:id="rId376"/>
    <hyperlink xmlns:r="http://schemas.openxmlformats.org/officeDocument/2006/relationships" ref="X128" r:id="rId377"/>
    <hyperlink xmlns:r="http://schemas.openxmlformats.org/officeDocument/2006/relationships" ref="V129" r:id="rId378"/>
    <hyperlink xmlns:r="http://schemas.openxmlformats.org/officeDocument/2006/relationships" ref="W129" r:id="rId379"/>
    <hyperlink xmlns:r="http://schemas.openxmlformats.org/officeDocument/2006/relationships" ref="X129" r:id="rId380"/>
    <hyperlink xmlns:r="http://schemas.openxmlformats.org/officeDocument/2006/relationships" ref="V130" r:id="rId381"/>
    <hyperlink xmlns:r="http://schemas.openxmlformats.org/officeDocument/2006/relationships" ref="W130" r:id="rId382"/>
    <hyperlink xmlns:r="http://schemas.openxmlformats.org/officeDocument/2006/relationships" ref="X130" r:id="rId383"/>
    <hyperlink xmlns:r="http://schemas.openxmlformats.org/officeDocument/2006/relationships" ref="V131" r:id="rId384"/>
    <hyperlink xmlns:r="http://schemas.openxmlformats.org/officeDocument/2006/relationships" ref="W131" r:id="rId385"/>
    <hyperlink xmlns:r="http://schemas.openxmlformats.org/officeDocument/2006/relationships" ref="X131" r:id="rId386"/>
    <hyperlink xmlns:r="http://schemas.openxmlformats.org/officeDocument/2006/relationships" ref="V132" r:id="rId387"/>
    <hyperlink xmlns:r="http://schemas.openxmlformats.org/officeDocument/2006/relationships" ref="W132" r:id="rId388"/>
    <hyperlink xmlns:r="http://schemas.openxmlformats.org/officeDocument/2006/relationships" ref="X132" r:id="rId389"/>
    <hyperlink xmlns:r="http://schemas.openxmlformats.org/officeDocument/2006/relationships" ref="V133" r:id="rId390"/>
    <hyperlink xmlns:r="http://schemas.openxmlformats.org/officeDocument/2006/relationships" ref="W133" r:id="rId391"/>
    <hyperlink xmlns:r="http://schemas.openxmlformats.org/officeDocument/2006/relationships" ref="X133" r:id="rId392"/>
    <hyperlink xmlns:r="http://schemas.openxmlformats.org/officeDocument/2006/relationships" ref="V134" r:id="rId393"/>
    <hyperlink xmlns:r="http://schemas.openxmlformats.org/officeDocument/2006/relationships" ref="W134" r:id="rId394"/>
    <hyperlink xmlns:r="http://schemas.openxmlformats.org/officeDocument/2006/relationships" ref="X134" r:id="rId395"/>
    <hyperlink xmlns:r="http://schemas.openxmlformats.org/officeDocument/2006/relationships" ref="V135" r:id="rId396"/>
    <hyperlink xmlns:r="http://schemas.openxmlformats.org/officeDocument/2006/relationships" ref="W135" r:id="rId397"/>
    <hyperlink xmlns:r="http://schemas.openxmlformats.org/officeDocument/2006/relationships" ref="X135" r:id="rId398"/>
    <hyperlink xmlns:r="http://schemas.openxmlformats.org/officeDocument/2006/relationships" ref="V136" r:id="rId399"/>
    <hyperlink xmlns:r="http://schemas.openxmlformats.org/officeDocument/2006/relationships" ref="W136" r:id="rId400"/>
    <hyperlink xmlns:r="http://schemas.openxmlformats.org/officeDocument/2006/relationships" ref="X136" r:id="rId401"/>
    <hyperlink xmlns:r="http://schemas.openxmlformats.org/officeDocument/2006/relationships" ref="V137" r:id="rId402"/>
    <hyperlink xmlns:r="http://schemas.openxmlformats.org/officeDocument/2006/relationships" ref="W137" r:id="rId403"/>
    <hyperlink xmlns:r="http://schemas.openxmlformats.org/officeDocument/2006/relationships" ref="X137" r:id="rId404"/>
    <hyperlink xmlns:r="http://schemas.openxmlformats.org/officeDocument/2006/relationships" ref="V138" r:id="rId405"/>
    <hyperlink xmlns:r="http://schemas.openxmlformats.org/officeDocument/2006/relationships" ref="W138" r:id="rId406"/>
    <hyperlink xmlns:r="http://schemas.openxmlformats.org/officeDocument/2006/relationships" ref="X138" r:id="rId407"/>
    <hyperlink xmlns:r="http://schemas.openxmlformats.org/officeDocument/2006/relationships" ref="V139" r:id="rId408"/>
    <hyperlink xmlns:r="http://schemas.openxmlformats.org/officeDocument/2006/relationships" ref="W139" r:id="rId409"/>
    <hyperlink xmlns:r="http://schemas.openxmlformats.org/officeDocument/2006/relationships" ref="X139" r:id="rId410"/>
    <hyperlink xmlns:r="http://schemas.openxmlformats.org/officeDocument/2006/relationships" ref="V140" r:id="rId411"/>
    <hyperlink xmlns:r="http://schemas.openxmlformats.org/officeDocument/2006/relationships" ref="W140" r:id="rId412"/>
    <hyperlink xmlns:r="http://schemas.openxmlformats.org/officeDocument/2006/relationships" ref="X140" r:id="rId413"/>
    <hyperlink xmlns:r="http://schemas.openxmlformats.org/officeDocument/2006/relationships" ref="V141" r:id="rId414"/>
    <hyperlink xmlns:r="http://schemas.openxmlformats.org/officeDocument/2006/relationships" ref="W141" r:id="rId415"/>
    <hyperlink xmlns:r="http://schemas.openxmlformats.org/officeDocument/2006/relationships" ref="X141" r:id="rId416"/>
    <hyperlink xmlns:r="http://schemas.openxmlformats.org/officeDocument/2006/relationships" ref="V142" r:id="rId417"/>
    <hyperlink xmlns:r="http://schemas.openxmlformats.org/officeDocument/2006/relationships" ref="W142" r:id="rId418"/>
    <hyperlink xmlns:r="http://schemas.openxmlformats.org/officeDocument/2006/relationships" ref="X142" r:id="rId419"/>
    <hyperlink xmlns:r="http://schemas.openxmlformats.org/officeDocument/2006/relationships" ref="V143" r:id="rId420"/>
    <hyperlink xmlns:r="http://schemas.openxmlformats.org/officeDocument/2006/relationships" ref="W143" r:id="rId421"/>
    <hyperlink xmlns:r="http://schemas.openxmlformats.org/officeDocument/2006/relationships" ref="X143" r:id="rId422"/>
    <hyperlink xmlns:r="http://schemas.openxmlformats.org/officeDocument/2006/relationships" ref="V144" r:id="rId423"/>
    <hyperlink xmlns:r="http://schemas.openxmlformats.org/officeDocument/2006/relationships" ref="W144" r:id="rId424"/>
    <hyperlink xmlns:r="http://schemas.openxmlformats.org/officeDocument/2006/relationships" ref="X144" r:id="rId425"/>
    <hyperlink xmlns:r="http://schemas.openxmlformats.org/officeDocument/2006/relationships" ref="V145" r:id="rId426"/>
    <hyperlink xmlns:r="http://schemas.openxmlformats.org/officeDocument/2006/relationships" ref="W145" r:id="rId427"/>
    <hyperlink xmlns:r="http://schemas.openxmlformats.org/officeDocument/2006/relationships" ref="X145" r:id="rId428"/>
    <hyperlink xmlns:r="http://schemas.openxmlformats.org/officeDocument/2006/relationships" ref="V146" r:id="rId429"/>
    <hyperlink xmlns:r="http://schemas.openxmlformats.org/officeDocument/2006/relationships" ref="W146" r:id="rId430"/>
    <hyperlink xmlns:r="http://schemas.openxmlformats.org/officeDocument/2006/relationships" ref="X146" r:id="rId431"/>
    <hyperlink xmlns:r="http://schemas.openxmlformats.org/officeDocument/2006/relationships" ref="V147" r:id="rId432"/>
    <hyperlink xmlns:r="http://schemas.openxmlformats.org/officeDocument/2006/relationships" ref="W147" r:id="rId433"/>
    <hyperlink xmlns:r="http://schemas.openxmlformats.org/officeDocument/2006/relationships" ref="X147" r:id="rId434"/>
    <hyperlink xmlns:r="http://schemas.openxmlformats.org/officeDocument/2006/relationships" ref="V148" r:id="rId435"/>
    <hyperlink xmlns:r="http://schemas.openxmlformats.org/officeDocument/2006/relationships" ref="W148" r:id="rId436"/>
    <hyperlink xmlns:r="http://schemas.openxmlformats.org/officeDocument/2006/relationships" ref="X148" r:id="rId437"/>
    <hyperlink xmlns:r="http://schemas.openxmlformats.org/officeDocument/2006/relationships" ref="V149" r:id="rId438"/>
    <hyperlink xmlns:r="http://schemas.openxmlformats.org/officeDocument/2006/relationships" ref="W149" r:id="rId439"/>
    <hyperlink xmlns:r="http://schemas.openxmlformats.org/officeDocument/2006/relationships" ref="X149" r:id="rId440"/>
    <hyperlink xmlns:r="http://schemas.openxmlformats.org/officeDocument/2006/relationships" ref="V150" r:id="rId441"/>
    <hyperlink xmlns:r="http://schemas.openxmlformats.org/officeDocument/2006/relationships" ref="W150" r:id="rId442"/>
    <hyperlink xmlns:r="http://schemas.openxmlformats.org/officeDocument/2006/relationships" ref="X150" r:id="rId443"/>
    <hyperlink xmlns:r="http://schemas.openxmlformats.org/officeDocument/2006/relationships" ref="V151" r:id="rId444"/>
    <hyperlink xmlns:r="http://schemas.openxmlformats.org/officeDocument/2006/relationships" ref="W151" r:id="rId445"/>
    <hyperlink xmlns:r="http://schemas.openxmlformats.org/officeDocument/2006/relationships" ref="X151" r:id="rId446"/>
    <hyperlink xmlns:r="http://schemas.openxmlformats.org/officeDocument/2006/relationships" ref="V152" r:id="rId447"/>
    <hyperlink xmlns:r="http://schemas.openxmlformats.org/officeDocument/2006/relationships" ref="W152" r:id="rId448"/>
    <hyperlink xmlns:r="http://schemas.openxmlformats.org/officeDocument/2006/relationships" ref="X152" r:id="rId449"/>
    <hyperlink xmlns:r="http://schemas.openxmlformats.org/officeDocument/2006/relationships" ref="V153" r:id="rId450"/>
    <hyperlink xmlns:r="http://schemas.openxmlformats.org/officeDocument/2006/relationships" ref="W153" r:id="rId451"/>
    <hyperlink xmlns:r="http://schemas.openxmlformats.org/officeDocument/2006/relationships" ref="X153" r:id="rId452"/>
    <hyperlink xmlns:r="http://schemas.openxmlformats.org/officeDocument/2006/relationships" ref="V154" r:id="rId453"/>
    <hyperlink xmlns:r="http://schemas.openxmlformats.org/officeDocument/2006/relationships" ref="W154" r:id="rId454"/>
    <hyperlink xmlns:r="http://schemas.openxmlformats.org/officeDocument/2006/relationships" ref="X154" r:id="rId455"/>
    <hyperlink xmlns:r="http://schemas.openxmlformats.org/officeDocument/2006/relationships" ref="V155" r:id="rId456"/>
    <hyperlink xmlns:r="http://schemas.openxmlformats.org/officeDocument/2006/relationships" ref="W155" r:id="rId457"/>
    <hyperlink xmlns:r="http://schemas.openxmlformats.org/officeDocument/2006/relationships" ref="X155" r:id="rId458"/>
    <hyperlink xmlns:r="http://schemas.openxmlformats.org/officeDocument/2006/relationships" ref="V156" r:id="rId459"/>
    <hyperlink xmlns:r="http://schemas.openxmlformats.org/officeDocument/2006/relationships" ref="W156" r:id="rId460"/>
    <hyperlink xmlns:r="http://schemas.openxmlformats.org/officeDocument/2006/relationships" ref="X156" r:id="rId461"/>
    <hyperlink xmlns:r="http://schemas.openxmlformats.org/officeDocument/2006/relationships" ref="V157" r:id="rId462"/>
    <hyperlink xmlns:r="http://schemas.openxmlformats.org/officeDocument/2006/relationships" ref="W157" r:id="rId463"/>
    <hyperlink xmlns:r="http://schemas.openxmlformats.org/officeDocument/2006/relationships" ref="X157" r:id="rId464"/>
    <hyperlink xmlns:r="http://schemas.openxmlformats.org/officeDocument/2006/relationships" ref="V158" r:id="rId465"/>
    <hyperlink xmlns:r="http://schemas.openxmlformats.org/officeDocument/2006/relationships" ref="W158" r:id="rId466"/>
    <hyperlink xmlns:r="http://schemas.openxmlformats.org/officeDocument/2006/relationships" ref="X158" r:id="rId467"/>
    <hyperlink xmlns:r="http://schemas.openxmlformats.org/officeDocument/2006/relationships" ref="V159" r:id="rId468"/>
    <hyperlink xmlns:r="http://schemas.openxmlformats.org/officeDocument/2006/relationships" ref="W159" r:id="rId469"/>
    <hyperlink xmlns:r="http://schemas.openxmlformats.org/officeDocument/2006/relationships" ref="X159" r:id="rId470"/>
    <hyperlink xmlns:r="http://schemas.openxmlformats.org/officeDocument/2006/relationships" ref="V160" r:id="rId471"/>
    <hyperlink xmlns:r="http://schemas.openxmlformats.org/officeDocument/2006/relationships" ref="W160" r:id="rId472"/>
    <hyperlink xmlns:r="http://schemas.openxmlformats.org/officeDocument/2006/relationships" ref="X160" r:id="rId473"/>
    <hyperlink xmlns:r="http://schemas.openxmlformats.org/officeDocument/2006/relationships" ref="V161" r:id="rId474"/>
    <hyperlink xmlns:r="http://schemas.openxmlformats.org/officeDocument/2006/relationships" ref="W161" r:id="rId475"/>
    <hyperlink xmlns:r="http://schemas.openxmlformats.org/officeDocument/2006/relationships" ref="X161" r:id="rId476"/>
    <hyperlink xmlns:r="http://schemas.openxmlformats.org/officeDocument/2006/relationships" ref="V162" r:id="rId477"/>
    <hyperlink xmlns:r="http://schemas.openxmlformats.org/officeDocument/2006/relationships" ref="W162" r:id="rId478"/>
    <hyperlink xmlns:r="http://schemas.openxmlformats.org/officeDocument/2006/relationships" ref="X162" r:id="rId479"/>
    <hyperlink xmlns:r="http://schemas.openxmlformats.org/officeDocument/2006/relationships" ref="V163" r:id="rId480"/>
    <hyperlink xmlns:r="http://schemas.openxmlformats.org/officeDocument/2006/relationships" ref="W163" r:id="rId481"/>
    <hyperlink xmlns:r="http://schemas.openxmlformats.org/officeDocument/2006/relationships" ref="X163" r:id="rId482"/>
    <hyperlink xmlns:r="http://schemas.openxmlformats.org/officeDocument/2006/relationships" ref="V164" r:id="rId483"/>
    <hyperlink xmlns:r="http://schemas.openxmlformats.org/officeDocument/2006/relationships" ref="W164" r:id="rId484"/>
    <hyperlink xmlns:r="http://schemas.openxmlformats.org/officeDocument/2006/relationships" ref="X164" r:id="rId485"/>
    <hyperlink xmlns:r="http://schemas.openxmlformats.org/officeDocument/2006/relationships" ref="V165" r:id="rId486"/>
    <hyperlink xmlns:r="http://schemas.openxmlformats.org/officeDocument/2006/relationships" ref="W165" r:id="rId487"/>
    <hyperlink xmlns:r="http://schemas.openxmlformats.org/officeDocument/2006/relationships" ref="X165" r:id="rId488"/>
    <hyperlink xmlns:r="http://schemas.openxmlformats.org/officeDocument/2006/relationships" ref="V166" r:id="rId489"/>
    <hyperlink xmlns:r="http://schemas.openxmlformats.org/officeDocument/2006/relationships" ref="W166" r:id="rId490"/>
    <hyperlink xmlns:r="http://schemas.openxmlformats.org/officeDocument/2006/relationships" ref="X166" r:id="rId491"/>
    <hyperlink xmlns:r="http://schemas.openxmlformats.org/officeDocument/2006/relationships" ref="V167" r:id="rId492"/>
    <hyperlink xmlns:r="http://schemas.openxmlformats.org/officeDocument/2006/relationships" ref="W167" r:id="rId493"/>
    <hyperlink xmlns:r="http://schemas.openxmlformats.org/officeDocument/2006/relationships" ref="X167" r:id="rId494"/>
    <hyperlink xmlns:r="http://schemas.openxmlformats.org/officeDocument/2006/relationships" ref="V168" r:id="rId495"/>
    <hyperlink xmlns:r="http://schemas.openxmlformats.org/officeDocument/2006/relationships" ref="W168" r:id="rId496"/>
    <hyperlink xmlns:r="http://schemas.openxmlformats.org/officeDocument/2006/relationships" ref="X168" r:id="rId497"/>
    <hyperlink xmlns:r="http://schemas.openxmlformats.org/officeDocument/2006/relationships" ref="V169" r:id="rId498"/>
    <hyperlink xmlns:r="http://schemas.openxmlformats.org/officeDocument/2006/relationships" ref="W169" r:id="rId499"/>
    <hyperlink xmlns:r="http://schemas.openxmlformats.org/officeDocument/2006/relationships" ref="X169" r:id="rId500"/>
    <hyperlink xmlns:r="http://schemas.openxmlformats.org/officeDocument/2006/relationships" ref="V170" r:id="rId501"/>
    <hyperlink xmlns:r="http://schemas.openxmlformats.org/officeDocument/2006/relationships" ref="W170" r:id="rId502"/>
    <hyperlink xmlns:r="http://schemas.openxmlformats.org/officeDocument/2006/relationships" ref="X170" r:id="rId503"/>
    <hyperlink xmlns:r="http://schemas.openxmlformats.org/officeDocument/2006/relationships" ref="V171" r:id="rId504"/>
    <hyperlink xmlns:r="http://schemas.openxmlformats.org/officeDocument/2006/relationships" ref="W171" r:id="rId505"/>
    <hyperlink xmlns:r="http://schemas.openxmlformats.org/officeDocument/2006/relationships" ref="X171" r:id="rId506"/>
    <hyperlink xmlns:r="http://schemas.openxmlformats.org/officeDocument/2006/relationships" ref="V172" r:id="rId507"/>
    <hyperlink xmlns:r="http://schemas.openxmlformats.org/officeDocument/2006/relationships" ref="W172" r:id="rId508"/>
    <hyperlink xmlns:r="http://schemas.openxmlformats.org/officeDocument/2006/relationships" ref="X172" r:id="rId509"/>
    <hyperlink xmlns:r="http://schemas.openxmlformats.org/officeDocument/2006/relationships" ref="V173" r:id="rId510"/>
    <hyperlink xmlns:r="http://schemas.openxmlformats.org/officeDocument/2006/relationships" ref="W173" r:id="rId511"/>
    <hyperlink xmlns:r="http://schemas.openxmlformats.org/officeDocument/2006/relationships" ref="X173" r:id="rId512"/>
    <hyperlink xmlns:r="http://schemas.openxmlformats.org/officeDocument/2006/relationships" ref="V174" r:id="rId513"/>
    <hyperlink xmlns:r="http://schemas.openxmlformats.org/officeDocument/2006/relationships" ref="W174" r:id="rId514"/>
    <hyperlink xmlns:r="http://schemas.openxmlformats.org/officeDocument/2006/relationships" ref="X174" r:id="rId515"/>
    <hyperlink xmlns:r="http://schemas.openxmlformats.org/officeDocument/2006/relationships" ref="V175" r:id="rId516"/>
    <hyperlink xmlns:r="http://schemas.openxmlformats.org/officeDocument/2006/relationships" ref="W175" r:id="rId517"/>
    <hyperlink xmlns:r="http://schemas.openxmlformats.org/officeDocument/2006/relationships" ref="X175" r:id="rId518"/>
    <hyperlink xmlns:r="http://schemas.openxmlformats.org/officeDocument/2006/relationships" ref="V176" r:id="rId519"/>
    <hyperlink xmlns:r="http://schemas.openxmlformats.org/officeDocument/2006/relationships" ref="W176" r:id="rId520"/>
    <hyperlink xmlns:r="http://schemas.openxmlformats.org/officeDocument/2006/relationships" ref="X176" r:id="rId521"/>
    <hyperlink xmlns:r="http://schemas.openxmlformats.org/officeDocument/2006/relationships" ref="V177" r:id="rId522"/>
    <hyperlink xmlns:r="http://schemas.openxmlformats.org/officeDocument/2006/relationships" ref="W177" r:id="rId523"/>
    <hyperlink xmlns:r="http://schemas.openxmlformats.org/officeDocument/2006/relationships" ref="X177" r:id="rId524"/>
    <hyperlink xmlns:r="http://schemas.openxmlformats.org/officeDocument/2006/relationships" ref="V178" r:id="rId525"/>
    <hyperlink xmlns:r="http://schemas.openxmlformats.org/officeDocument/2006/relationships" ref="W178" r:id="rId526"/>
    <hyperlink xmlns:r="http://schemas.openxmlformats.org/officeDocument/2006/relationships" ref="X178" r:id="rId527"/>
    <hyperlink xmlns:r="http://schemas.openxmlformats.org/officeDocument/2006/relationships" ref="V179" r:id="rId528"/>
    <hyperlink xmlns:r="http://schemas.openxmlformats.org/officeDocument/2006/relationships" ref="W179" r:id="rId529"/>
    <hyperlink xmlns:r="http://schemas.openxmlformats.org/officeDocument/2006/relationships" ref="X179" r:id="rId530"/>
    <hyperlink xmlns:r="http://schemas.openxmlformats.org/officeDocument/2006/relationships" ref="V180" r:id="rId531"/>
    <hyperlink xmlns:r="http://schemas.openxmlformats.org/officeDocument/2006/relationships" ref="W180" r:id="rId532"/>
    <hyperlink xmlns:r="http://schemas.openxmlformats.org/officeDocument/2006/relationships" ref="X180" r:id="rId533"/>
    <hyperlink xmlns:r="http://schemas.openxmlformats.org/officeDocument/2006/relationships" ref="V181" r:id="rId534"/>
    <hyperlink xmlns:r="http://schemas.openxmlformats.org/officeDocument/2006/relationships" ref="W181" r:id="rId535"/>
    <hyperlink xmlns:r="http://schemas.openxmlformats.org/officeDocument/2006/relationships" ref="X181" r:id="rId536"/>
    <hyperlink xmlns:r="http://schemas.openxmlformats.org/officeDocument/2006/relationships" ref="V182" r:id="rId537"/>
    <hyperlink xmlns:r="http://schemas.openxmlformats.org/officeDocument/2006/relationships" ref="W182" r:id="rId538"/>
    <hyperlink xmlns:r="http://schemas.openxmlformats.org/officeDocument/2006/relationships" ref="X182" r:id="rId539"/>
    <hyperlink xmlns:r="http://schemas.openxmlformats.org/officeDocument/2006/relationships" ref="V183" r:id="rId540"/>
    <hyperlink xmlns:r="http://schemas.openxmlformats.org/officeDocument/2006/relationships" ref="W183" r:id="rId541"/>
    <hyperlink xmlns:r="http://schemas.openxmlformats.org/officeDocument/2006/relationships" ref="X183" r:id="rId542"/>
    <hyperlink xmlns:r="http://schemas.openxmlformats.org/officeDocument/2006/relationships" ref="V184" r:id="rId543"/>
    <hyperlink xmlns:r="http://schemas.openxmlformats.org/officeDocument/2006/relationships" ref="W184" r:id="rId544"/>
    <hyperlink xmlns:r="http://schemas.openxmlformats.org/officeDocument/2006/relationships" ref="X184" r:id="rId545"/>
    <hyperlink xmlns:r="http://schemas.openxmlformats.org/officeDocument/2006/relationships" ref="V185" r:id="rId546"/>
    <hyperlink xmlns:r="http://schemas.openxmlformats.org/officeDocument/2006/relationships" ref="W185" r:id="rId547"/>
    <hyperlink xmlns:r="http://schemas.openxmlformats.org/officeDocument/2006/relationships" ref="X185" r:id="rId548"/>
    <hyperlink xmlns:r="http://schemas.openxmlformats.org/officeDocument/2006/relationships" ref="V186" r:id="rId549"/>
    <hyperlink xmlns:r="http://schemas.openxmlformats.org/officeDocument/2006/relationships" ref="W186" r:id="rId550"/>
    <hyperlink xmlns:r="http://schemas.openxmlformats.org/officeDocument/2006/relationships" ref="X186" r:id="rId551"/>
    <hyperlink xmlns:r="http://schemas.openxmlformats.org/officeDocument/2006/relationships" ref="V187" r:id="rId552"/>
    <hyperlink xmlns:r="http://schemas.openxmlformats.org/officeDocument/2006/relationships" ref="W187" r:id="rId553"/>
    <hyperlink xmlns:r="http://schemas.openxmlformats.org/officeDocument/2006/relationships" ref="X187" r:id="rId554"/>
    <hyperlink xmlns:r="http://schemas.openxmlformats.org/officeDocument/2006/relationships" ref="V188" r:id="rId555"/>
    <hyperlink xmlns:r="http://schemas.openxmlformats.org/officeDocument/2006/relationships" ref="W188" r:id="rId556"/>
    <hyperlink xmlns:r="http://schemas.openxmlformats.org/officeDocument/2006/relationships" ref="X188" r:id="rId557"/>
    <hyperlink xmlns:r="http://schemas.openxmlformats.org/officeDocument/2006/relationships" ref="V189" r:id="rId558"/>
    <hyperlink xmlns:r="http://schemas.openxmlformats.org/officeDocument/2006/relationships" ref="W189" r:id="rId559"/>
    <hyperlink xmlns:r="http://schemas.openxmlformats.org/officeDocument/2006/relationships" ref="X189" r:id="rId560"/>
    <hyperlink xmlns:r="http://schemas.openxmlformats.org/officeDocument/2006/relationships" ref="V190" r:id="rId561"/>
    <hyperlink xmlns:r="http://schemas.openxmlformats.org/officeDocument/2006/relationships" ref="W190" r:id="rId562"/>
    <hyperlink xmlns:r="http://schemas.openxmlformats.org/officeDocument/2006/relationships" ref="X190" r:id="rId563"/>
    <hyperlink xmlns:r="http://schemas.openxmlformats.org/officeDocument/2006/relationships" ref="V191" r:id="rId564"/>
    <hyperlink xmlns:r="http://schemas.openxmlformats.org/officeDocument/2006/relationships" ref="W191" r:id="rId565"/>
    <hyperlink xmlns:r="http://schemas.openxmlformats.org/officeDocument/2006/relationships" ref="X191" r:id="rId566"/>
    <hyperlink xmlns:r="http://schemas.openxmlformats.org/officeDocument/2006/relationships" ref="V192" r:id="rId567"/>
    <hyperlink xmlns:r="http://schemas.openxmlformats.org/officeDocument/2006/relationships" ref="W192" r:id="rId568"/>
    <hyperlink xmlns:r="http://schemas.openxmlformats.org/officeDocument/2006/relationships" ref="X192" r:id="rId569"/>
    <hyperlink xmlns:r="http://schemas.openxmlformats.org/officeDocument/2006/relationships" ref="V193" r:id="rId570"/>
    <hyperlink xmlns:r="http://schemas.openxmlformats.org/officeDocument/2006/relationships" ref="W193" r:id="rId571"/>
    <hyperlink xmlns:r="http://schemas.openxmlformats.org/officeDocument/2006/relationships" ref="X193" r:id="rId572"/>
    <hyperlink xmlns:r="http://schemas.openxmlformats.org/officeDocument/2006/relationships" ref="V194" r:id="rId573"/>
    <hyperlink xmlns:r="http://schemas.openxmlformats.org/officeDocument/2006/relationships" ref="W194" r:id="rId574"/>
    <hyperlink xmlns:r="http://schemas.openxmlformats.org/officeDocument/2006/relationships" ref="X194" r:id="rId575"/>
    <hyperlink xmlns:r="http://schemas.openxmlformats.org/officeDocument/2006/relationships" ref="V195" r:id="rId576"/>
    <hyperlink xmlns:r="http://schemas.openxmlformats.org/officeDocument/2006/relationships" ref="W195" r:id="rId577"/>
    <hyperlink xmlns:r="http://schemas.openxmlformats.org/officeDocument/2006/relationships" ref="X195" r:id="rId578"/>
    <hyperlink xmlns:r="http://schemas.openxmlformats.org/officeDocument/2006/relationships" ref="V196" r:id="rId579"/>
    <hyperlink xmlns:r="http://schemas.openxmlformats.org/officeDocument/2006/relationships" ref="W196" r:id="rId580"/>
    <hyperlink xmlns:r="http://schemas.openxmlformats.org/officeDocument/2006/relationships" ref="X196" r:id="rId581"/>
    <hyperlink xmlns:r="http://schemas.openxmlformats.org/officeDocument/2006/relationships" ref="V197" r:id="rId582"/>
    <hyperlink xmlns:r="http://schemas.openxmlformats.org/officeDocument/2006/relationships" ref="W197" r:id="rId583"/>
    <hyperlink xmlns:r="http://schemas.openxmlformats.org/officeDocument/2006/relationships" ref="X197" r:id="rId584"/>
    <hyperlink xmlns:r="http://schemas.openxmlformats.org/officeDocument/2006/relationships" ref="V198" r:id="rId585"/>
    <hyperlink xmlns:r="http://schemas.openxmlformats.org/officeDocument/2006/relationships" ref="W198" r:id="rId586"/>
    <hyperlink xmlns:r="http://schemas.openxmlformats.org/officeDocument/2006/relationships" ref="X198" r:id="rId587"/>
    <hyperlink xmlns:r="http://schemas.openxmlformats.org/officeDocument/2006/relationships" ref="V199" r:id="rId588"/>
    <hyperlink xmlns:r="http://schemas.openxmlformats.org/officeDocument/2006/relationships" ref="W199" r:id="rId589"/>
    <hyperlink xmlns:r="http://schemas.openxmlformats.org/officeDocument/2006/relationships" ref="X199" r:id="rId590"/>
    <hyperlink xmlns:r="http://schemas.openxmlformats.org/officeDocument/2006/relationships" ref="V200" r:id="rId591"/>
    <hyperlink xmlns:r="http://schemas.openxmlformats.org/officeDocument/2006/relationships" ref="W200" r:id="rId592"/>
    <hyperlink xmlns:r="http://schemas.openxmlformats.org/officeDocument/2006/relationships" ref="X200" r:id="rId593"/>
    <hyperlink xmlns:r="http://schemas.openxmlformats.org/officeDocument/2006/relationships" ref="V201" r:id="rId594"/>
    <hyperlink xmlns:r="http://schemas.openxmlformats.org/officeDocument/2006/relationships" ref="X201" r:id="rId595"/>
    <hyperlink xmlns:r="http://schemas.openxmlformats.org/officeDocument/2006/relationships" ref="V202" r:id="rId596"/>
    <hyperlink xmlns:r="http://schemas.openxmlformats.org/officeDocument/2006/relationships" ref="W202" r:id="rId597"/>
    <hyperlink xmlns:r="http://schemas.openxmlformats.org/officeDocument/2006/relationships" ref="X202" r:id="rId598"/>
    <hyperlink xmlns:r="http://schemas.openxmlformats.org/officeDocument/2006/relationships" ref="V203" r:id="rId599"/>
    <hyperlink xmlns:r="http://schemas.openxmlformats.org/officeDocument/2006/relationships" ref="W203" r:id="rId600"/>
    <hyperlink xmlns:r="http://schemas.openxmlformats.org/officeDocument/2006/relationships" ref="X203" r:id="rId601"/>
    <hyperlink xmlns:r="http://schemas.openxmlformats.org/officeDocument/2006/relationships" ref="V204" r:id="rId602"/>
    <hyperlink xmlns:r="http://schemas.openxmlformats.org/officeDocument/2006/relationships" ref="W204" r:id="rId603"/>
    <hyperlink xmlns:r="http://schemas.openxmlformats.org/officeDocument/2006/relationships" ref="X204" r:id="rId604"/>
    <hyperlink xmlns:r="http://schemas.openxmlformats.org/officeDocument/2006/relationships" ref="V205" r:id="rId605"/>
    <hyperlink xmlns:r="http://schemas.openxmlformats.org/officeDocument/2006/relationships" ref="W205" r:id="rId606"/>
    <hyperlink xmlns:r="http://schemas.openxmlformats.org/officeDocument/2006/relationships" ref="X205" r:id="rId607"/>
    <hyperlink xmlns:r="http://schemas.openxmlformats.org/officeDocument/2006/relationships" ref="V206" r:id="rId608"/>
    <hyperlink xmlns:r="http://schemas.openxmlformats.org/officeDocument/2006/relationships" ref="W206" r:id="rId609"/>
    <hyperlink xmlns:r="http://schemas.openxmlformats.org/officeDocument/2006/relationships" ref="X206" r:id="rId610"/>
    <hyperlink xmlns:r="http://schemas.openxmlformats.org/officeDocument/2006/relationships" ref="V207" r:id="rId611"/>
    <hyperlink xmlns:r="http://schemas.openxmlformats.org/officeDocument/2006/relationships" ref="W207" r:id="rId612"/>
    <hyperlink xmlns:r="http://schemas.openxmlformats.org/officeDocument/2006/relationships" ref="X207" r:id="rId613"/>
    <hyperlink xmlns:r="http://schemas.openxmlformats.org/officeDocument/2006/relationships" ref="V208" r:id="rId614"/>
    <hyperlink xmlns:r="http://schemas.openxmlformats.org/officeDocument/2006/relationships" ref="W208" r:id="rId615"/>
    <hyperlink xmlns:r="http://schemas.openxmlformats.org/officeDocument/2006/relationships" ref="X208" r:id="rId616"/>
    <hyperlink xmlns:r="http://schemas.openxmlformats.org/officeDocument/2006/relationships" ref="V209" r:id="rId617"/>
    <hyperlink xmlns:r="http://schemas.openxmlformats.org/officeDocument/2006/relationships" ref="W209" r:id="rId618"/>
    <hyperlink xmlns:r="http://schemas.openxmlformats.org/officeDocument/2006/relationships" ref="X209" r:id="rId619"/>
    <hyperlink xmlns:r="http://schemas.openxmlformats.org/officeDocument/2006/relationships" ref="V210" r:id="rId620"/>
    <hyperlink xmlns:r="http://schemas.openxmlformats.org/officeDocument/2006/relationships" ref="W210" r:id="rId621"/>
    <hyperlink xmlns:r="http://schemas.openxmlformats.org/officeDocument/2006/relationships" ref="X210" r:id="rId622"/>
    <hyperlink xmlns:r="http://schemas.openxmlformats.org/officeDocument/2006/relationships" ref="V211" r:id="rId623"/>
    <hyperlink xmlns:r="http://schemas.openxmlformats.org/officeDocument/2006/relationships" ref="W211" r:id="rId624"/>
    <hyperlink xmlns:r="http://schemas.openxmlformats.org/officeDocument/2006/relationships" ref="X211" r:id="rId625"/>
    <hyperlink xmlns:r="http://schemas.openxmlformats.org/officeDocument/2006/relationships" ref="V212" r:id="rId626"/>
    <hyperlink xmlns:r="http://schemas.openxmlformats.org/officeDocument/2006/relationships" ref="W212" r:id="rId627"/>
    <hyperlink xmlns:r="http://schemas.openxmlformats.org/officeDocument/2006/relationships" ref="X212" r:id="rId628"/>
    <hyperlink xmlns:r="http://schemas.openxmlformats.org/officeDocument/2006/relationships" ref="V213" r:id="rId629"/>
    <hyperlink xmlns:r="http://schemas.openxmlformats.org/officeDocument/2006/relationships" ref="W213" r:id="rId630"/>
    <hyperlink xmlns:r="http://schemas.openxmlformats.org/officeDocument/2006/relationships" ref="X213" r:id="rId631"/>
    <hyperlink xmlns:r="http://schemas.openxmlformats.org/officeDocument/2006/relationships" ref="V214" r:id="rId632"/>
    <hyperlink xmlns:r="http://schemas.openxmlformats.org/officeDocument/2006/relationships" ref="W214" r:id="rId633"/>
    <hyperlink xmlns:r="http://schemas.openxmlformats.org/officeDocument/2006/relationships" ref="X214" r:id="rId634"/>
    <hyperlink xmlns:r="http://schemas.openxmlformats.org/officeDocument/2006/relationships" ref="V215" r:id="rId635"/>
    <hyperlink xmlns:r="http://schemas.openxmlformats.org/officeDocument/2006/relationships" ref="W215" r:id="rId636"/>
    <hyperlink xmlns:r="http://schemas.openxmlformats.org/officeDocument/2006/relationships" ref="X215" r:id="rId637"/>
    <hyperlink xmlns:r="http://schemas.openxmlformats.org/officeDocument/2006/relationships" ref="V216" r:id="rId638"/>
    <hyperlink xmlns:r="http://schemas.openxmlformats.org/officeDocument/2006/relationships" ref="W216" r:id="rId639"/>
    <hyperlink xmlns:r="http://schemas.openxmlformats.org/officeDocument/2006/relationships" ref="X216" r:id="rId640"/>
    <hyperlink xmlns:r="http://schemas.openxmlformats.org/officeDocument/2006/relationships" ref="V217" r:id="rId641"/>
    <hyperlink xmlns:r="http://schemas.openxmlformats.org/officeDocument/2006/relationships" ref="W217" r:id="rId642"/>
    <hyperlink xmlns:r="http://schemas.openxmlformats.org/officeDocument/2006/relationships" ref="X217" r:id="rId643"/>
    <hyperlink xmlns:r="http://schemas.openxmlformats.org/officeDocument/2006/relationships" ref="V218" r:id="rId644"/>
    <hyperlink xmlns:r="http://schemas.openxmlformats.org/officeDocument/2006/relationships" ref="W218" r:id="rId645"/>
    <hyperlink xmlns:r="http://schemas.openxmlformats.org/officeDocument/2006/relationships" ref="X218" r:id="rId646"/>
    <hyperlink xmlns:r="http://schemas.openxmlformats.org/officeDocument/2006/relationships" ref="V219" r:id="rId647"/>
    <hyperlink xmlns:r="http://schemas.openxmlformats.org/officeDocument/2006/relationships" ref="W219" r:id="rId648"/>
    <hyperlink xmlns:r="http://schemas.openxmlformats.org/officeDocument/2006/relationships" ref="X219" r:id="rId649"/>
    <hyperlink xmlns:r="http://schemas.openxmlformats.org/officeDocument/2006/relationships" ref="V220" r:id="rId650"/>
    <hyperlink xmlns:r="http://schemas.openxmlformats.org/officeDocument/2006/relationships" ref="V221" r:id="rId651"/>
    <hyperlink xmlns:r="http://schemas.openxmlformats.org/officeDocument/2006/relationships" ref="W221" r:id="rId652"/>
    <hyperlink xmlns:r="http://schemas.openxmlformats.org/officeDocument/2006/relationships" ref="X221" r:id="rId653"/>
    <hyperlink xmlns:r="http://schemas.openxmlformats.org/officeDocument/2006/relationships" ref="V222" r:id="rId654"/>
    <hyperlink xmlns:r="http://schemas.openxmlformats.org/officeDocument/2006/relationships" ref="W222" r:id="rId655"/>
    <hyperlink xmlns:r="http://schemas.openxmlformats.org/officeDocument/2006/relationships" ref="X222" r:id="rId656"/>
    <hyperlink xmlns:r="http://schemas.openxmlformats.org/officeDocument/2006/relationships" ref="V223" r:id="rId657"/>
    <hyperlink xmlns:r="http://schemas.openxmlformats.org/officeDocument/2006/relationships" ref="W223" r:id="rId658"/>
    <hyperlink xmlns:r="http://schemas.openxmlformats.org/officeDocument/2006/relationships" ref="X223" r:id="rId659"/>
    <hyperlink xmlns:r="http://schemas.openxmlformats.org/officeDocument/2006/relationships" ref="V224" r:id="rId660"/>
    <hyperlink xmlns:r="http://schemas.openxmlformats.org/officeDocument/2006/relationships" ref="W224" r:id="rId661"/>
    <hyperlink xmlns:r="http://schemas.openxmlformats.org/officeDocument/2006/relationships" ref="X224" r:id="rId662"/>
    <hyperlink xmlns:r="http://schemas.openxmlformats.org/officeDocument/2006/relationships" ref="V225" r:id="rId663"/>
    <hyperlink xmlns:r="http://schemas.openxmlformats.org/officeDocument/2006/relationships" ref="W225" r:id="rId664"/>
    <hyperlink xmlns:r="http://schemas.openxmlformats.org/officeDocument/2006/relationships" ref="X225" r:id="rId665"/>
    <hyperlink xmlns:r="http://schemas.openxmlformats.org/officeDocument/2006/relationships" ref="V226" r:id="rId666"/>
    <hyperlink xmlns:r="http://schemas.openxmlformats.org/officeDocument/2006/relationships" ref="W226" r:id="rId667"/>
    <hyperlink xmlns:r="http://schemas.openxmlformats.org/officeDocument/2006/relationships" ref="X226" r:id="rId668"/>
    <hyperlink xmlns:r="http://schemas.openxmlformats.org/officeDocument/2006/relationships" ref="V227" r:id="rId669"/>
    <hyperlink xmlns:r="http://schemas.openxmlformats.org/officeDocument/2006/relationships" ref="W227" r:id="rId670"/>
    <hyperlink xmlns:r="http://schemas.openxmlformats.org/officeDocument/2006/relationships" ref="X227" r:id="rId671"/>
    <hyperlink xmlns:r="http://schemas.openxmlformats.org/officeDocument/2006/relationships" ref="V228" r:id="rId672"/>
    <hyperlink xmlns:r="http://schemas.openxmlformats.org/officeDocument/2006/relationships" ref="W228" r:id="rId673"/>
    <hyperlink xmlns:r="http://schemas.openxmlformats.org/officeDocument/2006/relationships" ref="X228" r:id="rId674"/>
    <hyperlink xmlns:r="http://schemas.openxmlformats.org/officeDocument/2006/relationships" ref="V229" r:id="rId675"/>
    <hyperlink xmlns:r="http://schemas.openxmlformats.org/officeDocument/2006/relationships" ref="W229" r:id="rId676"/>
    <hyperlink xmlns:r="http://schemas.openxmlformats.org/officeDocument/2006/relationships" ref="X229" r:id="rId677"/>
    <hyperlink xmlns:r="http://schemas.openxmlformats.org/officeDocument/2006/relationships" ref="V230" r:id="rId678"/>
    <hyperlink xmlns:r="http://schemas.openxmlformats.org/officeDocument/2006/relationships" ref="W230" r:id="rId679"/>
    <hyperlink xmlns:r="http://schemas.openxmlformats.org/officeDocument/2006/relationships" ref="X230" r:id="rId680"/>
    <hyperlink xmlns:r="http://schemas.openxmlformats.org/officeDocument/2006/relationships" ref="V231" r:id="rId681"/>
    <hyperlink xmlns:r="http://schemas.openxmlformats.org/officeDocument/2006/relationships" ref="W231" r:id="rId682"/>
    <hyperlink xmlns:r="http://schemas.openxmlformats.org/officeDocument/2006/relationships" ref="X231" r:id="rId683"/>
    <hyperlink xmlns:r="http://schemas.openxmlformats.org/officeDocument/2006/relationships" ref="V232" r:id="rId684"/>
    <hyperlink xmlns:r="http://schemas.openxmlformats.org/officeDocument/2006/relationships" ref="W232" r:id="rId685"/>
    <hyperlink xmlns:r="http://schemas.openxmlformats.org/officeDocument/2006/relationships" ref="X232" r:id="rId686"/>
    <hyperlink xmlns:r="http://schemas.openxmlformats.org/officeDocument/2006/relationships" ref="V233" r:id="rId687"/>
    <hyperlink xmlns:r="http://schemas.openxmlformats.org/officeDocument/2006/relationships" ref="W233" r:id="rId688"/>
    <hyperlink xmlns:r="http://schemas.openxmlformats.org/officeDocument/2006/relationships" ref="X233" r:id="rId689"/>
    <hyperlink xmlns:r="http://schemas.openxmlformats.org/officeDocument/2006/relationships" ref="V234" r:id="rId690"/>
    <hyperlink xmlns:r="http://schemas.openxmlformats.org/officeDocument/2006/relationships" ref="W234" r:id="rId691"/>
    <hyperlink xmlns:r="http://schemas.openxmlformats.org/officeDocument/2006/relationships" ref="X234" r:id="rId692"/>
    <hyperlink xmlns:r="http://schemas.openxmlformats.org/officeDocument/2006/relationships" ref="V235" r:id="rId693"/>
    <hyperlink xmlns:r="http://schemas.openxmlformats.org/officeDocument/2006/relationships" ref="W235" r:id="rId694"/>
    <hyperlink xmlns:r="http://schemas.openxmlformats.org/officeDocument/2006/relationships" ref="X235" r:id="rId695"/>
    <hyperlink xmlns:r="http://schemas.openxmlformats.org/officeDocument/2006/relationships" ref="V236" r:id="rId696"/>
    <hyperlink xmlns:r="http://schemas.openxmlformats.org/officeDocument/2006/relationships" ref="W236" r:id="rId697"/>
    <hyperlink xmlns:r="http://schemas.openxmlformats.org/officeDocument/2006/relationships" ref="X236" r:id="rId698"/>
    <hyperlink xmlns:r="http://schemas.openxmlformats.org/officeDocument/2006/relationships" ref="V237" r:id="rId699"/>
    <hyperlink xmlns:r="http://schemas.openxmlformats.org/officeDocument/2006/relationships" ref="W237" r:id="rId700"/>
    <hyperlink xmlns:r="http://schemas.openxmlformats.org/officeDocument/2006/relationships" ref="X237" r:id="rId701"/>
    <hyperlink xmlns:r="http://schemas.openxmlformats.org/officeDocument/2006/relationships" ref="V238" r:id="rId702"/>
    <hyperlink xmlns:r="http://schemas.openxmlformats.org/officeDocument/2006/relationships" ref="W238" r:id="rId703"/>
    <hyperlink xmlns:r="http://schemas.openxmlformats.org/officeDocument/2006/relationships" ref="X238" r:id="rId704"/>
    <hyperlink xmlns:r="http://schemas.openxmlformats.org/officeDocument/2006/relationships" ref="V239" r:id="rId705"/>
    <hyperlink xmlns:r="http://schemas.openxmlformats.org/officeDocument/2006/relationships" ref="W239" r:id="rId706"/>
    <hyperlink xmlns:r="http://schemas.openxmlformats.org/officeDocument/2006/relationships" ref="X239" r:id="rId707"/>
    <hyperlink xmlns:r="http://schemas.openxmlformats.org/officeDocument/2006/relationships" ref="V240" r:id="rId708"/>
    <hyperlink xmlns:r="http://schemas.openxmlformats.org/officeDocument/2006/relationships" ref="W240" r:id="rId709"/>
    <hyperlink xmlns:r="http://schemas.openxmlformats.org/officeDocument/2006/relationships" ref="X240" r:id="rId710"/>
    <hyperlink xmlns:r="http://schemas.openxmlformats.org/officeDocument/2006/relationships" ref="V241" r:id="rId711"/>
    <hyperlink xmlns:r="http://schemas.openxmlformats.org/officeDocument/2006/relationships" ref="W241" r:id="rId712"/>
    <hyperlink xmlns:r="http://schemas.openxmlformats.org/officeDocument/2006/relationships" ref="X241" r:id="rId713"/>
    <hyperlink xmlns:r="http://schemas.openxmlformats.org/officeDocument/2006/relationships" ref="V242" r:id="rId714"/>
    <hyperlink xmlns:r="http://schemas.openxmlformats.org/officeDocument/2006/relationships" ref="W242" r:id="rId715"/>
    <hyperlink xmlns:r="http://schemas.openxmlformats.org/officeDocument/2006/relationships" ref="X242" r:id="rId716"/>
    <hyperlink xmlns:r="http://schemas.openxmlformats.org/officeDocument/2006/relationships" ref="V243" r:id="rId717"/>
    <hyperlink xmlns:r="http://schemas.openxmlformats.org/officeDocument/2006/relationships" ref="W243" r:id="rId718"/>
    <hyperlink xmlns:r="http://schemas.openxmlformats.org/officeDocument/2006/relationships" ref="X243" r:id="rId719"/>
    <hyperlink xmlns:r="http://schemas.openxmlformats.org/officeDocument/2006/relationships" ref="V244" r:id="rId720"/>
    <hyperlink xmlns:r="http://schemas.openxmlformats.org/officeDocument/2006/relationships" ref="W244" r:id="rId721"/>
    <hyperlink xmlns:r="http://schemas.openxmlformats.org/officeDocument/2006/relationships" ref="X244" r:id="rId722"/>
    <hyperlink xmlns:r="http://schemas.openxmlformats.org/officeDocument/2006/relationships" ref="V245" r:id="rId723"/>
    <hyperlink xmlns:r="http://schemas.openxmlformats.org/officeDocument/2006/relationships" ref="W245" r:id="rId724"/>
    <hyperlink xmlns:r="http://schemas.openxmlformats.org/officeDocument/2006/relationships" ref="X245" r:id="rId725"/>
    <hyperlink xmlns:r="http://schemas.openxmlformats.org/officeDocument/2006/relationships" ref="V246" r:id="rId726"/>
    <hyperlink xmlns:r="http://schemas.openxmlformats.org/officeDocument/2006/relationships" ref="W246" r:id="rId727"/>
    <hyperlink xmlns:r="http://schemas.openxmlformats.org/officeDocument/2006/relationships" ref="X246" r:id="rId728"/>
    <hyperlink xmlns:r="http://schemas.openxmlformats.org/officeDocument/2006/relationships" ref="V247" r:id="rId729"/>
    <hyperlink xmlns:r="http://schemas.openxmlformats.org/officeDocument/2006/relationships" ref="W247" r:id="rId730"/>
    <hyperlink xmlns:r="http://schemas.openxmlformats.org/officeDocument/2006/relationships" ref="X247" r:id="rId731"/>
    <hyperlink xmlns:r="http://schemas.openxmlformats.org/officeDocument/2006/relationships" ref="V248" r:id="rId732"/>
    <hyperlink xmlns:r="http://schemas.openxmlformats.org/officeDocument/2006/relationships" ref="W248" r:id="rId733"/>
    <hyperlink xmlns:r="http://schemas.openxmlformats.org/officeDocument/2006/relationships" ref="X248" r:id="rId734"/>
    <hyperlink xmlns:r="http://schemas.openxmlformats.org/officeDocument/2006/relationships" ref="V249" r:id="rId735"/>
    <hyperlink xmlns:r="http://schemas.openxmlformats.org/officeDocument/2006/relationships" ref="W249" r:id="rId736"/>
    <hyperlink xmlns:r="http://schemas.openxmlformats.org/officeDocument/2006/relationships" ref="X249" r:id="rId737"/>
    <hyperlink xmlns:r="http://schemas.openxmlformats.org/officeDocument/2006/relationships" ref="V250" r:id="rId738"/>
    <hyperlink xmlns:r="http://schemas.openxmlformats.org/officeDocument/2006/relationships" ref="W250" r:id="rId739"/>
    <hyperlink xmlns:r="http://schemas.openxmlformats.org/officeDocument/2006/relationships" ref="X250" r:id="rId740"/>
    <hyperlink xmlns:r="http://schemas.openxmlformats.org/officeDocument/2006/relationships" ref="V251" r:id="rId741"/>
    <hyperlink xmlns:r="http://schemas.openxmlformats.org/officeDocument/2006/relationships" ref="W251" r:id="rId742"/>
    <hyperlink xmlns:r="http://schemas.openxmlformats.org/officeDocument/2006/relationships" ref="X251" r:id="rId743"/>
    <hyperlink xmlns:r="http://schemas.openxmlformats.org/officeDocument/2006/relationships" ref="V252" r:id="rId744"/>
    <hyperlink xmlns:r="http://schemas.openxmlformats.org/officeDocument/2006/relationships" ref="W252" r:id="rId745"/>
    <hyperlink xmlns:r="http://schemas.openxmlformats.org/officeDocument/2006/relationships" ref="X252" r:id="rId746"/>
    <hyperlink xmlns:r="http://schemas.openxmlformats.org/officeDocument/2006/relationships" ref="V253" r:id="rId747"/>
    <hyperlink xmlns:r="http://schemas.openxmlformats.org/officeDocument/2006/relationships" ref="W253" r:id="rId748"/>
    <hyperlink xmlns:r="http://schemas.openxmlformats.org/officeDocument/2006/relationships" ref="X253" r:id="rId749"/>
    <hyperlink xmlns:r="http://schemas.openxmlformats.org/officeDocument/2006/relationships" ref="V254" r:id="rId750"/>
    <hyperlink xmlns:r="http://schemas.openxmlformats.org/officeDocument/2006/relationships" ref="W254" r:id="rId751"/>
    <hyperlink xmlns:r="http://schemas.openxmlformats.org/officeDocument/2006/relationships" ref="X254" r:id="rId752"/>
    <hyperlink xmlns:r="http://schemas.openxmlformats.org/officeDocument/2006/relationships" ref="V255" r:id="rId753"/>
    <hyperlink xmlns:r="http://schemas.openxmlformats.org/officeDocument/2006/relationships" ref="W255" r:id="rId754"/>
    <hyperlink xmlns:r="http://schemas.openxmlformats.org/officeDocument/2006/relationships" ref="X255" r:id="rId755"/>
    <hyperlink xmlns:r="http://schemas.openxmlformats.org/officeDocument/2006/relationships" ref="V256" r:id="rId756"/>
    <hyperlink xmlns:r="http://schemas.openxmlformats.org/officeDocument/2006/relationships" ref="W256" r:id="rId757"/>
    <hyperlink xmlns:r="http://schemas.openxmlformats.org/officeDocument/2006/relationships" ref="X256" r:id="rId758"/>
    <hyperlink xmlns:r="http://schemas.openxmlformats.org/officeDocument/2006/relationships" ref="V257" r:id="rId759"/>
    <hyperlink xmlns:r="http://schemas.openxmlformats.org/officeDocument/2006/relationships" ref="W257" r:id="rId760"/>
    <hyperlink xmlns:r="http://schemas.openxmlformats.org/officeDocument/2006/relationships" ref="X257" r:id="rId761"/>
    <hyperlink xmlns:r="http://schemas.openxmlformats.org/officeDocument/2006/relationships" ref="V258" r:id="rId762"/>
    <hyperlink xmlns:r="http://schemas.openxmlformats.org/officeDocument/2006/relationships" ref="W258" r:id="rId763"/>
    <hyperlink xmlns:r="http://schemas.openxmlformats.org/officeDocument/2006/relationships" ref="X258" r:id="rId764"/>
    <hyperlink xmlns:r="http://schemas.openxmlformats.org/officeDocument/2006/relationships" ref="V259" r:id="rId765"/>
    <hyperlink xmlns:r="http://schemas.openxmlformats.org/officeDocument/2006/relationships" ref="W259" r:id="rId766"/>
    <hyperlink xmlns:r="http://schemas.openxmlformats.org/officeDocument/2006/relationships" ref="X259" r:id="rId767"/>
    <hyperlink xmlns:r="http://schemas.openxmlformats.org/officeDocument/2006/relationships" ref="V260" r:id="rId768"/>
    <hyperlink xmlns:r="http://schemas.openxmlformats.org/officeDocument/2006/relationships" ref="W260" r:id="rId769"/>
    <hyperlink xmlns:r="http://schemas.openxmlformats.org/officeDocument/2006/relationships" ref="X260" r:id="rId770"/>
    <hyperlink xmlns:r="http://schemas.openxmlformats.org/officeDocument/2006/relationships" ref="V261" r:id="rId771"/>
    <hyperlink xmlns:r="http://schemas.openxmlformats.org/officeDocument/2006/relationships" ref="W261" r:id="rId772"/>
    <hyperlink xmlns:r="http://schemas.openxmlformats.org/officeDocument/2006/relationships" ref="X261" r:id="rId773"/>
    <hyperlink xmlns:r="http://schemas.openxmlformats.org/officeDocument/2006/relationships" ref="V262" r:id="rId774"/>
    <hyperlink xmlns:r="http://schemas.openxmlformats.org/officeDocument/2006/relationships" ref="W262" r:id="rId775"/>
    <hyperlink xmlns:r="http://schemas.openxmlformats.org/officeDocument/2006/relationships" ref="X262" r:id="rId776"/>
    <hyperlink xmlns:r="http://schemas.openxmlformats.org/officeDocument/2006/relationships" ref="V263" r:id="rId777"/>
    <hyperlink xmlns:r="http://schemas.openxmlformats.org/officeDocument/2006/relationships" ref="W263" r:id="rId778"/>
    <hyperlink xmlns:r="http://schemas.openxmlformats.org/officeDocument/2006/relationships" ref="X263" r:id="rId779"/>
    <hyperlink xmlns:r="http://schemas.openxmlformats.org/officeDocument/2006/relationships" ref="V264" r:id="rId780"/>
    <hyperlink xmlns:r="http://schemas.openxmlformats.org/officeDocument/2006/relationships" ref="W264" r:id="rId781"/>
    <hyperlink xmlns:r="http://schemas.openxmlformats.org/officeDocument/2006/relationships" ref="X264" r:id="rId782"/>
    <hyperlink xmlns:r="http://schemas.openxmlformats.org/officeDocument/2006/relationships" ref="V265" r:id="rId783"/>
    <hyperlink xmlns:r="http://schemas.openxmlformats.org/officeDocument/2006/relationships" ref="W265" r:id="rId784"/>
    <hyperlink xmlns:r="http://schemas.openxmlformats.org/officeDocument/2006/relationships" ref="X265" r:id="rId785"/>
    <hyperlink xmlns:r="http://schemas.openxmlformats.org/officeDocument/2006/relationships" ref="V266" r:id="rId786"/>
    <hyperlink xmlns:r="http://schemas.openxmlformats.org/officeDocument/2006/relationships" ref="W266" r:id="rId787"/>
    <hyperlink xmlns:r="http://schemas.openxmlformats.org/officeDocument/2006/relationships" ref="X266" r:id="rId788"/>
    <hyperlink xmlns:r="http://schemas.openxmlformats.org/officeDocument/2006/relationships" ref="V267" r:id="rId789"/>
    <hyperlink xmlns:r="http://schemas.openxmlformats.org/officeDocument/2006/relationships" ref="W267" r:id="rId790"/>
    <hyperlink xmlns:r="http://schemas.openxmlformats.org/officeDocument/2006/relationships" ref="X267" r:id="rId791"/>
    <hyperlink xmlns:r="http://schemas.openxmlformats.org/officeDocument/2006/relationships" ref="V268" r:id="rId792"/>
    <hyperlink xmlns:r="http://schemas.openxmlformats.org/officeDocument/2006/relationships" ref="W268" r:id="rId793"/>
    <hyperlink xmlns:r="http://schemas.openxmlformats.org/officeDocument/2006/relationships" ref="X268" r:id="rId794"/>
    <hyperlink xmlns:r="http://schemas.openxmlformats.org/officeDocument/2006/relationships" ref="V269" r:id="rId795"/>
    <hyperlink xmlns:r="http://schemas.openxmlformats.org/officeDocument/2006/relationships" ref="W269" r:id="rId796"/>
    <hyperlink xmlns:r="http://schemas.openxmlformats.org/officeDocument/2006/relationships" ref="X269" r:id="rId797"/>
    <hyperlink xmlns:r="http://schemas.openxmlformats.org/officeDocument/2006/relationships" ref="V270" r:id="rId798"/>
    <hyperlink xmlns:r="http://schemas.openxmlformats.org/officeDocument/2006/relationships" ref="W270" r:id="rId799"/>
    <hyperlink xmlns:r="http://schemas.openxmlformats.org/officeDocument/2006/relationships" ref="X270" r:id="rId800"/>
    <hyperlink xmlns:r="http://schemas.openxmlformats.org/officeDocument/2006/relationships" ref="V271" r:id="rId801"/>
    <hyperlink xmlns:r="http://schemas.openxmlformats.org/officeDocument/2006/relationships" ref="W271" r:id="rId802"/>
    <hyperlink xmlns:r="http://schemas.openxmlformats.org/officeDocument/2006/relationships" ref="X271" r:id="rId803"/>
    <hyperlink xmlns:r="http://schemas.openxmlformats.org/officeDocument/2006/relationships" ref="V272" r:id="rId804"/>
    <hyperlink xmlns:r="http://schemas.openxmlformats.org/officeDocument/2006/relationships" ref="W272" r:id="rId805"/>
    <hyperlink xmlns:r="http://schemas.openxmlformats.org/officeDocument/2006/relationships" ref="X272" r:id="rId806"/>
    <hyperlink xmlns:r="http://schemas.openxmlformats.org/officeDocument/2006/relationships" ref="V273" r:id="rId807"/>
    <hyperlink xmlns:r="http://schemas.openxmlformats.org/officeDocument/2006/relationships" ref="W273" r:id="rId808"/>
    <hyperlink xmlns:r="http://schemas.openxmlformats.org/officeDocument/2006/relationships" ref="X273" r:id="rId809"/>
    <hyperlink xmlns:r="http://schemas.openxmlformats.org/officeDocument/2006/relationships" ref="V274" r:id="rId810"/>
    <hyperlink xmlns:r="http://schemas.openxmlformats.org/officeDocument/2006/relationships" ref="W274" r:id="rId811"/>
    <hyperlink xmlns:r="http://schemas.openxmlformats.org/officeDocument/2006/relationships" ref="X274" r:id="rId812"/>
    <hyperlink xmlns:r="http://schemas.openxmlformats.org/officeDocument/2006/relationships" ref="V275" r:id="rId813"/>
    <hyperlink xmlns:r="http://schemas.openxmlformats.org/officeDocument/2006/relationships" ref="W275" r:id="rId814"/>
    <hyperlink xmlns:r="http://schemas.openxmlformats.org/officeDocument/2006/relationships" ref="X275" r:id="rId815"/>
    <hyperlink xmlns:r="http://schemas.openxmlformats.org/officeDocument/2006/relationships" ref="V276" r:id="rId816"/>
    <hyperlink xmlns:r="http://schemas.openxmlformats.org/officeDocument/2006/relationships" ref="W276" r:id="rId817"/>
    <hyperlink xmlns:r="http://schemas.openxmlformats.org/officeDocument/2006/relationships" ref="X276" r:id="rId818"/>
    <hyperlink xmlns:r="http://schemas.openxmlformats.org/officeDocument/2006/relationships" ref="V277" r:id="rId819"/>
    <hyperlink xmlns:r="http://schemas.openxmlformats.org/officeDocument/2006/relationships" ref="W277" r:id="rId820"/>
    <hyperlink xmlns:r="http://schemas.openxmlformats.org/officeDocument/2006/relationships" ref="X277" r:id="rId821"/>
    <hyperlink xmlns:r="http://schemas.openxmlformats.org/officeDocument/2006/relationships" ref="V278" r:id="rId822"/>
    <hyperlink xmlns:r="http://schemas.openxmlformats.org/officeDocument/2006/relationships" ref="W278" r:id="rId823"/>
    <hyperlink xmlns:r="http://schemas.openxmlformats.org/officeDocument/2006/relationships" ref="X278" r:id="rId824"/>
    <hyperlink xmlns:r="http://schemas.openxmlformats.org/officeDocument/2006/relationships" ref="V279" r:id="rId825"/>
    <hyperlink xmlns:r="http://schemas.openxmlformats.org/officeDocument/2006/relationships" ref="W279" r:id="rId826"/>
    <hyperlink xmlns:r="http://schemas.openxmlformats.org/officeDocument/2006/relationships" ref="X279" r:id="rId827"/>
    <hyperlink xmlns:r="http://schemas.openxmlformats.org/officeDocument/2006/relationships" ref="V280" r:id="rId828"/>
    <hyperlink xmlns:r="http://schemas.openxmlformats.org/officeDocument/2006/relationships" ref="W280" r:id="rId829"/>
    <hyperlink xmlns:r="http://schemas.openxmlformats.org/officeDocument/2006/relationships" ref="X280" r:id="rId830"/>
    <hyperlink xmlns:r="http://schemas.openxmlformats.org/officeDocument/2006/relationships" ref="V281" r:id="rId831"/>
    <hyperlink xmlns:r="http://schemas.openxmlformats.org/officeDocument/2006/relationships" ref="W281" r:id="rId832"/>
    <hyperlink xmlns:r="http://schemas.openxmlformats.org/officeDocument/2006/relationships" ref="X281" r:id="rId833"/>
    <hyperlink xmlns:r="http://schemas.openxmlformats.org/officeDocument/2006/relationships" ref="V282" r:id="rId834"/>
    <hyperlink xmlns:r="http://schemas.openxmlformats.org/officeDocument/2006/relationships" ref="W282" r:id="rId835"/>
    <hyperlink xmlns:r="http://schemas.openxmlformats.org/officeDocument/2006/relationships" ref="X282" r:id="rId836"/>
    <hyperlink xmlns:r="http://schemas.openxmlformats.org/officeDocument/2006/relationships" ref="V283" r:id="rId837"/>
    <hyperlink xmlns:r="http://schemas.openxmlformats.org/officeDocument/2006/relationships" ref="W283" r:id="rId838"/>
    <hyperlink xmlns:r="http://schemas.openxmlformats.org/officeDocument/2006/relationships" ref="X283" r:id="rId839"/>
    <hyperlink xmlns:r="http://schemas.openxmlformats.org/officeDocument/2006/relationships" ref="V284" r:id="rId840"/>
    <hyperlink xmlns:r="http://schemas.openxmlformats.org/officeDocument/2006/relationships" ref="W284" r:id="rId841"/>
    <hyperlink xmlns:r="http://schemas.openxmlformats.org/officeDocument/2006/relationships" ref="X284" r:id="rId842"/>
    <hyperlink xmlns:r="http://schemas.openxmlformats.org/officeDocument/2006/relationships" ref="V285" r:id="rId843"/>
    <hyperlink xmlns:r="http://schemas.openxmlformats.org/officeDocument/2006/relationships" ref="W285" r:id="rId844"/>
    <hyperlink xmlns:r="http://schemas.openxmlformats.org/officeDocument/2006/relationships" ref="X285" r:id="rId845"/>
    <hyperlink xmlns:r="http://schemas.openxmlformats.org/officeDocument/2006/relationships" ref="V286" r:id="rId846"/>
    <hyperlink xmlns:r="http://schemas.openxmlformats.org/officeDocument/2006/relationships" ref="W286" r:id="rId847"/>
    <hyperlink xmlns:r="http://schemas.openxmlformats.org/officeDocument/2006/relationships" ref="X286" r:id="rId848"/>
    <hyperlink xmlns:r="http://schemas.openxmlformats.org/officeDocument/2006/relationships" ref="V287" r:id="rId849"/>
    <hyperlink xmlns:r="http://schemas.openxmlformats.org/officeDocument/2006/relationships" ref="W287" r:id="rId850"/>
    <hyperlink xmlns:r="http://schemas.openxmlformats.org/officeDocument/2006/relationships" ref="X287" r:id="rId851"/>
    <hyperlink xmlns:r="http://schemas.openxmlformats.org/officeDocument/2006/relationships" ref="V288" r:id="rId852"/>
    <hyperlink xmlns:r="http://schemas.openxmlformats.org/officeDocument/2006/relationships" ref="W288" r:id="rId853"/>
    <hyperlink xmlns:r="http://schemas.openxmlformats.org/officeDocument/2006/relationships" ref="X288" r:id="rId854"/>
    <hyperlink xmlns:r="http://schemas.openxmlformats.org/officeDocument/2006/relationships" ref="V289" r:id="rId855"/>
    <hyperlink xmlns:r="http://schemas.openxmlformats.org/officeDocument/2006/relationships" ref="W289" r:id="rId856"/>
    <hyperlink xmlns:r="http://schemas.openxmlformats.org/officeDocument/2006/relationships" ref="X289" r:id="rId857"/>
    <hyperlink xmlns:r="http://schemas.openxmlformats.org/officeDocument/2006/relationships" ref="V290" r:id="rId858"/>
    <hyperlink xmlns:r="http://schemas.openxmlformats.org/officeDocument/2006/relationships" ref="W290" r:id="rId859"/>
    <hyperlink xmlns:r="http://schemas.openxmlformats.org/officeDocument/2006/relationships" ref="X290" r:id="rId860"/>
    <hyperlink xmlns:r="http://schemas.openxmlformats.org/officeDocument/2006/relationships" ref="V291" r:id="rId861"/>
    <hyperlink xmlns:r="http://schemas.openxmlformats.org/officeDocument/2006/relationships" ref="W291" r:id="rId862"/>
    <hyperlink xmlns:r="http://schemas.openxmlformats.org/officeDocument/2006/relationships" ref="X291" r:id="rId863"/>
    <hyperlink xmlns:r="http://schemas.openxmlformats.org/officeDocument/2006/relationships" ref="V292" r:id="rId864"/>
    <hyperlink xmlns:r="http://schemas.openxmlformats.org/officeDocument/2006/relationships" ref="W292" r:id="rId865"/>
    <hyperlink xmlns:r="http://schemas.openxmlformats.org/officeDocument/2006/relationships" ref="X292" r:id="rId866"/>
    <hyperlink xmlns:r="http://schemas.openxmlformats.org/officeDocument/2006/relationships" ref="V293" r:id="rId867"/>
    <hyperlink xmlns:r="http://schemas.openxmlformats.org/officeDocument/2006/relationships" ref="W293" r:id="rId868"/>
    <hyperlink xmlns:r="http://schemas.openxmlformats.org/officeDocument/2006/relationships" ref="X293" r:id="rId869"/>
    <hyperlink xmlns:r="http://schemas.openxmlformats.org/officeDocument/2006/relationships" ref="V294" r:id="rId870"/>
    <hyperlink xmlns:r="http://schemas.openxmlformats.org/officeDocument/2006/relationships" ref="W294" r:id="rId871"/>
    <hyperlink xmlns:r="http://schemas.openxmlformats.org/officeDocument/2006/relationships" ref="X294" r:id="rId872"/>
    <hyperlink xmlns:r="http://schemas.openxmlformats.org/officeDocument/2006/relationships" ref="V295" r:id="rId873"/>
    <hyperlink xmlns:r="http://schemas.openxmlformats.org/officeDocument/2006/relationships" ref="W295" r:id="rId874"/>
    <hyperlink xmlns:r="http://schemas.openxmlformats.org/officeDocument/2006/relationships" ref="X295" r:id="rId875"/>
    <hyperlink xmlns:r="http://schemas.openxmlformats.org/officeDocument/2006/relationships" ref="V296" r:id="rId876"/>
    <hyperlink xmlns:r="http://schemas.openxmlformats.org/officeDocument/2006/relationships" ref="W296" r:id="rId877"/>
    <hyperlink xmlns:r="http://schemas.openxmlformats.org/officeDocument/2006/relationships" ref="X296" r:id="rId878"/>
    <hyperlink xmlns:r="http://schemas.openxmlformats.org/officeDocument/2006/relationships" ref="V297" r:id="rId879"/>
    <hyperlink xmlns:r="http://schemas.openxmlformats.org/officeDocument/2006/relationships" ref="W297" r:id="rId880"/>
    <hyperlink xmlns:r="http://schemas.openxmlformats.org/officeDocument/2006/relationships" ref="X297" r:id="rId881"/>
    <hyperlink xmlns:r="http://schemas.openxmlformats.org/officeDocument/2006/relationships" ref="V298" r:id="rId882"/>
    <hyperlink xmlns:r="http://schemas.openxmlformats.org/officeDocument/2006/relationships" ref="W298" r:id="rId883"/>
    <hyperlink xmlns:r="http://schemas.openxmlformats.org/officeDocument/2006/relationships" ref="X298" r:id="rId884"/>
    <hyperlink xmlns:r="http://schemas.openxmlformats.org/officeDocument/2006/relationships" ref="V299" r:id="rId885"/>
    <hyperlink xmlns:r="http://schemas.openxmlformats.org/officeDocument/2006/relationships" ref="W299" r:id="rId886"/>
    <hyperlink xmlns:r="http://schemas.openxmlformats.org/officeDocument/2006/relationships" ref="X299" r:id="rId887"/>
    <hyperlink xmlns:r="http://schemas.openxmlformats.org/officeDocument/2006/relationships" ref="V300" r:id="rId888"/>
    <hyperlink xmlns:r="http://schemas.openxmlformats.org/officeDocument/2006/relationships" ref="W300" r:id="rId889"/>
    <hyperlink xmlns:r="http://schemas.openxmlformats.org/officeDocument/2006/relationships" ref="X300" r:id="rId890"/>
    <hyperlink xmlns:r="http://schemas.openxmlformats.org/officeDocument/2006/relationships" ref="V301" r:id="rId891"/>
    <hyperlink xmlns:r="http://schemas.openxmlformats.org/officeDocument/2006/relationships" ref="W301" r:id="rId892"/>
    <hyperlink xmlns:r="http://schemas.openxmlformats.org/officeDocument/2006/relationships" ref="X301" r:id="rId893"/>
    <hyperlink xmlns:r="http://schemas.openxmlformats.org/officeDocument/2006/relationships" ref="V302" r:id="rId894"/>
    <hyperlink xmlns:r="http://schemas.openxmlformats.org/officeDocument/2006/relationships" ref="W302" r:id="rId895"/>
    <hyperlink xmlns:r="http://schemas.openxmlformats.org/officeDocument/2006/relationships" ref="X302" r:id="rId896"/>
    <hyperlink xmlns:r="http://schemas.openxmlformats.org/officeDocument/2006/relationships" ref="V303" r:id="rId897"/>
    <hyperlink xmlns:r="http://schemas.openxmlformats.org/officeDocument/2006/relationships" ref="W303" r:id="rId898"/>
    <hyperlink xmlns:r="http://schemas.openxmlformats.org/officeDocument/2006/relationships" ref="X303" r:id="rId899"/>
    <hyperlink xmlns:r="http://schemas.openxmlformats.org/officeDocument/2006/relationships" ref="V304" r:id="rId900"/>
    <hyperlink xmlns:r="http://schemas.openxmlformats.org/officeDocument/2006/relationships" ref="W304" r:id="rId901"/>
    <hyperlink xmlns:r="http://schemas.openxmlformats.org/officeDocument/2006/relationships" ref="X304" r:id="rId902"/>
    <hyperlink xmlns:r="http://schemas.openxmlformats.org/officeDocument/2006/relationships" ref="V305" r:id="rId903"/>
    <hyperlink xmlns:r="http://schemas.openxmlformats.org/officeDocument/2006/relationships" ref="W305" r:id="rId904"/>
    <hyperlink xmlns:r="http://schemas.openxmlformats.org/officeDocument/2006/relationships" ref="X305" r:id="rId905"/>
    <hyperlink xmlns:r="http://schemas.openxmlformats.org/officeDocument/2006/relationships" ref="V306" r:id="rId906"/>
    <hyperlink xmlns:r="http://schemas.openxmlformats.org/officeDocument/2006/relationships" ref="W306" r:id="rId907"/>
    <hyperlink xmlns:r="http://schemas.openxmlformats.org/officeDocument/2006/relationships" ref="X306" r:id="rId908"/>
    <hyperlink xmlns:r="http://schemas.openxmlformats.org/officeDocument/2006/relationships" ref="V307" r:id="rId909"/>
    <hyperlink xmlns:r="http://schemas.openxmlformats.org/officeDocument/2006/relationships" ref="W307" r:id="rId910"/>
    <hyperlink xmlns:r="http://schemas.openxmlformats.org/officeDocument/2006/relationships" ref="X307" r:id="rId911"/>
    <hyperlink xmlns:r="http://schemas.openxmlformats.org/officeDocument/2006/relationships" ref="V308" r:id="rId912"/>
    <hyperlink xmlns:r="http://schemas.openxmlformats.org/officeDocument/2006/relationships" ref="W308" r:id="rId913"/>
    <hyperlink xmlns:r="http://schemas.openxmlformats.org/officeDocument/2006/relationships" ref="X308" r:id="rId914"/>
    <hyperlink xmlns:r="http://schemas.openxmlformats.org/officeDocument/2006/relationships" ref="V309" r:id="rId915"/>
    <hyperlink xmlns:r="http://schemas.openxmlformats.org/officeDocument/2006/relationships" ref="W309" r:id="rId916"/>
    <hyperlink xmlns:r="http://schemas.openxmlformats.org/officeDocument/2006/relationships" ref="X309" r:id="rId917"/>
    <hyperlink xmlns:r="http://schemas.openxmlformats.org/officeDocument/2006/relationships" ref="V310" r:id="rId918"/>
    <hyperlink xmlns:r="http://schemas.openxmlformats.org/officeDocument/2006/relationships" ref="W310" r:id="rId919"/>
    <hyperlink xmlns:r="http://schemas.openxmlformats.org/officeDocument/2006/relationships" ref="X310" r:id="rId920"/>
    <hyperlink xmlns:r="http://schemas.openxmlformats.org/officeDocument/2006/relationships" ref="V311" r:id="rId921"/>
    <hyperlink xmlns:r="http://schemas.openxmlformats.org/officeDocument/2006/relationships" ref="W311" r:id="rId922"/>
    <hyperlink xmlns:r="http://schemas.openxmlformats.org/officeDocument/2006/relationships" ref="X311" r:id="rId923"/>
    <hyperlink xmlns:r="http://schemas.openxmlformats.org/officeDocument/2006/relationships" ref="V312" r:id="rId924"/>
    <hyperlink xmlns:r="http://schemas.openxmlformats.org/officeDocument/2006/relationships" ref="W312" r:id="rId925"/>
    <hyperlink xmlns:r="http://schemas.openxmlformats.org/officeDocument/2006/relationships" ref="X312" r:id="rId926"/>
    <hyperlink xmlns:r="http://schemas.openxmlformats.org/officeDocument/2006/relationships" ref="V313" r:id="rId927"/>
    <hyperlink xmlns:r="http://schemas.openxmlformats.org/officeDocument/2006/relationships" ref="W313" r:id="rId928"/>
    <hyperlink xmlns:r="http://schemas.openxmlformats.org/officeDocument/2006/relationships" ref="X313" r:id="rId929"/>
    <hyperlink xmlns:r="http://schemas.openxmlformats.org/officeDocument/2006/relationships" ref="V314" r:id="rId930"/>
    <hyperlink xmlns:r="http://schemas.openxmlformats.org/officeDocument/2006/relationships" ref="W314" r:id="rId931"/>
    <hyperlink xmlns:r="http://schemas.openxmlformats.org/officeDocument/2006/relationships" ref="X314" r:id="rId932"/>
    <hyperlink xmlns:r="http://schemas.openxmlformats.org/officeDocument/2006/relationships" ref="V315" r:id="rId933"/>
    <hyperlink xmlns:r="http://schemas.openxmlformats.org/officeDocument/2006/relationships" ref="W315" r:id="rId934"/>
    <hyperlink xmlns:r="http://schemas.openxmlformats.org/officeDocument/2006/relationships" ref="X315" r:id="rId935"/>
    <hyperlink xmlns:r="http://schemas.openxmlformats.org/officeDocument/2006/relationships" ref="V316" r:id="rId936"/>
    <hyperlink xmlns:r="http://schemas.openxmlformats.org/officeDocument/2006/relationships" ref="W316" r:id="rId937"/>
    <hyperlink xmlns:r="http://schemas.openxmlformats.org/officeDocument/2006/relationships" ref="X316" r:id="rId938"/>
    <hyperlink xmlns:r="http://schemas.openxmlformats.org/officeDocument/2006/relationships" ref="V317" r:id="rId939"/>
    <hyperlink xmlns:r="http://schemas.openxmlformats.org/officeDocument/2006/relationships" ref="W317" r:id="rId940"/>
    <hyperlink xmlns:r="http://schemas.openxmlformats.org/officeDocument/2006/relationships" ref="X317" r:id="rId941"/>
    <hyperlink xmlns:r="http://schemas.openxmlformats.org/officeDocument/2006/relationships" ref="V318" r:id="rId942"/>
    <hyperlink xmlns:r="http://schemas.openxmlformats.org/officeDocument/2006/relationships" ref="W318" r:id="rId943"/>
    <hyperlink xmlns:r="http://schemas.openxmlformats.org/officeDocument/2006/relationships" ref="X318" r:id="rId944"/>
    <hyperlink xmlns:r="http://schemas.openxmlformats.org/officeDocument/2006/relationships" ref="V319" r:id="rId945"/>
    <hyperlink xmlns:r="http://schemas.openxmlformats.org/officeDocument/2006/relationships" ref="W319" r:id="rId946"/>
    <hyperlink xmlns:r="http://schemas.openxmlformats.org/officeDocument/2006/relationships" ref="X319" r:id="rId947"/>
    <hyperlink xmlns:r="http://schemas.openxmlformats.org/officeDocument/2006/relationships" ref="V320" r:id="rId948"/>
    <hyperlink xmlns:r="http://schemas.openxmlformats.org/officeDocument/2006/relationships" ref="W320" r:id="rId949"/>
    <hyperlink xmlns:r="http://schemas.openxmlformats.org/officeDocument/2006/relationships" ref="X320" r:id="rId950"/>
    <hyperlink xmlns:r="http://schemas.openxmlformats.org/officeDocument/2006/relationships" ref="V321" r:id="rId951"/>
    <hyperlink xmlns:r="http://schemas.openxmlformats.org/officeDocument/2006/relationships" ref="W321" r:id="rId952"/>
    <hyperlink xmlns:r="http://schemas.openxmlformats.org/officeDocument/2006/relationships" ref="X321" r:id="rId953"/>
    <hyperlink xmlns:r="http://schemas.openxmlformats.org/officeDocument/2006/relationships" ref="V322" r:id="rId954"/>
    <hyperlink xmlns:r="http://schemas.openxmlformats.org/officeDocument/2006/relationships" ref="W322" r:id="rId955"/>
    <hyperlink xmlns:r="http://schemas.openxmlformats.org/officeDocument/2006/relationships" ref="X322" r:id="rId956"/>
    <hyperlink xmlns:r="http://schemas.openxmlformats.org/officeDocument/2006/relationships" ref="V323" r:id="rId957"/>
    <hyperlink xmlns:r="http://schemas.openxmlformats.org/officeDocument/2006/relationships" ref="W323" r:id="rId958"/>
    <hyperlink xmlns:r="http://schemas.openxmlformats.org/officeDocument/2006/relationships" ref="X323" r:id="rId959"/>
    <hyperlink xmlns:r="http://schemas.openxmlformats.org/officeDocument/2006/relationships" ref="V324" r:id="rId960"/>
    <hyperlink xmlns:r="http://schemas.openxmlformats.org/officeDocument/2006/relationships" ref="W324" r:id="rId961"/>
    <hyperlink xmlns:r="http://schemas.openxmlformats.org/officeDocument/2006/relationships" ref="X324" r:id="rId962"/>
    <hyperlink xmlns:r="http://schemas.openxmlformats.org/officeDocument/2006/relationships" ref="V325" r:id="rId963"/>
    <hyperlink xmlns:r="http://schemas.openxmlformats.org/officeDocument/2006/relationships" ref="W325" r:id="rId964"/>
    <hyperlink xmlns:r="http://schemas.openxmlformats.org/officeDocument/2006/relationships" ref="X325" r:id="rId965"/>
    <hyperlink xmlns:r="http://schemas.openxmlformats.org/officeDocument/2006/relationships" ref="V326" r:id="rId966"/>
    <hyperlink xmlns:r="http://schemas.openxmlformats.org/officeDocument/2006/relationships" ref="W326" r:id="rId967"/>
    <hyperlink xmlns:r="http://schemas.openxmlformats.org/officeDocument/2006/relationships" ref="X326" r:id="rId968"/>
    <hyperlink xmlns:r="http://schemas.openxmlformats.org/officeDocument/2006/relationships" ref="V327" r:id="rId969"/>
    <hyperlink xmlns:r="http://schemas.openxmlformats.org/officeDocument/2006/relationships" ref="W327" r:id="rId970"/>
    <hyperlink xmlns:r="http://schemas.openxmlformats.org/officeDocument/2006/relationships" ref="X327" r:id="rId971"/>
    <hyperlink xmlns:r="http://schemas.openxmlformats.org/officeDocument/2006/relationships" ref="V328" r:id="rId972"/>
    <hyperlink xmlns:r="http://schemas.openxmlformats.org/officeDocument/2006/relationships" ref="W328" r:id="rId973"/>
    <hyperlink xmlns:r="http://schemas.openxmlformats.org/officeDocument/2006/relationships" ref="X328" r:id="rId974"/>
    <hyperlink xmlns:r="http://schemas.openxmlformats.org/officeDocument/2006/relationships" ref="V329" r:id="rId975"/>
    <hyperlink xmlns:r="http://schemas.openxmlformats.org/officeDocument/2006/relationships" ref="W329" r:id="rId976"/>
    <hyperlink xmlns:r="http://schemas.openxmlformats.org/officeDocument/2006/relationships" ref="X329" r:id="rId977"/>
    <hyperlink xmlns:r="http://schemas.openxmlformats.org/officeDocument/2006/relationships" ref="V330" r:id="rId978"/>
    <hyperlink xmlns:r="http://schemas.openxmlformats.org/officeDocument/2006/relationships" ref="W330" r:id="rId979"/>
    <hyperlink xmlns:r="http://schemas.openxmlformats.org/officeDocument/2006/relationships" ref="X330" r:id="rId980"/>
    <hyperlink xmlns:r="http://schemas.openxmlformats.org/officeDocument/2006/relationships" ref="V331" r:id="rId981"/>
    <hyperlink xmlns:r="http://schemas.openxmlformats.org/officeDocument/2006/relationships" ref="W331" r:id="rId982"/>
    <hyperlink xmlns:r="http://schemas.openxmlformats.org/officeDocument/2006/relationships" ref="X331" r:id="rId983"/>
    <hyperlink xmlns:r="http://schemas.openxmlformats.org/officeDocument/2006/relationships" ref="V332" r:id="rId984"/>
    <hyperlink xmlns:r="http://schemas.openxmlformats.org/officeDocument/2006/relationships" ref="W332" r:id="rId985"/>
    <hyperlink xmlns:r="http://schemas.openxmlformats.org/officeDocument/2006/relationships" ref="X332" r:id="rId986"/>
    <hyperlink xmlns:r="http://schemas.openxmlformats.org/officeDocument/2006/relationships" ref="V333" r:id="rId987"/>
    <hyperlink xmlns:r="http://schemas.openxmlformats.org/officeDocument/2006/relationships" ref="W333" r:id="rId988"/>
    <hyperlink xmlns:r="http://schemas.openxmlformats.org/officeDocument/2006/relationships" ref="X333" r:id="rId989"/>
    <hyperlink xmlns:r="http://schemas.openxmlformats.org/officeDocument/2006/relationships" ref="V334" r:id="rId990"/>
    <hyperlink xmlns:r="http://schemas.openxmlformats.org/officeDocument/2006/relationships" ref="W334" r:id="rId991"/>
    <hyperlink xmlns:r="http://schemas.openxmlformats.org/officeDocument/2006/relationships" ref="X334" r:id="rId992"/>
    <hyperlink xmlns:r="http://schemas.openxmlformats.org/officeDocument/2006/relationships" ref="V335" r:id="rId993"/>
    <hyperlink xmlns:r="http://schemas.openxmlformats.org/officeDocument/2006/relationships" ref="W335" r:id="rId994"/>
    <hyperlink xmlns:r="http://schemas.openxmlformats.org/officeDocument/2006/relationships" ref="X335" r:id="rId995"/>
    <hyperlink xmlns:r="http://schemas.openxmlformats.org/officeDocument/2006/relationships" ref="V336" r:id="rId996"/>
    <hyperlink xmlns:r="http://schemas.openxmlformats.org/officeDocument/2006/relationships" ref="W336" r:id="rId997"/>
    <hyperlink xmlns:r="http://schemas.openxmlformats.org/officeDocument/2006/relationships" ref="X336" r:id="rId998"/>
    <hyperlink xmlns:r="http://schemas.openxmlformats.org/officeDocument/2006/relationships" ref="V337" r:id="rId999"/>
    <hyperlink xmlns:r="http://schemas.openxmlformats.org/officeDocument/2006/relationships" ref="W337" r:id="rId1000"/>
    <hyperlink xmlns:r="http://schemas.openxmlformats.org/officeDocument/2006/relationships" ref="X337" r:id="rId1001"/>
    <hyperlink xmlns:r="http://schemas.openxmlformats.org/officeDocument/2006/relationships" ref="V338" r:id="rId1002"/>
    <hyperlink xmlns:r="http://schemas.openxmlformats.org/officeDocument/2006/relationships" ref="W338" r:id="rId1003"/>
    <hyperlink xmlns:r="http://schemas.openxmlformats.org/officeDocument/2006/relationships" ref="X338" r:id="rId1004"/>
    <hyperlink xmlns:r="http://schemas.openxmlformats.org/officeDocument/2006/relationships" ref="V339" r:id="rId1005"/>
    <hyperlink xmlns:r="http://schemas.openxmlformats.org/officeDocument/2006/relationships" ref="W339" r:id="rId1006"/>
    <hyperlink xmlns:r="http://schemas.openxmlformats.org/officeDocument/2006/relationships" ref="X339" r:id="rId1007"/>
    <hyperlink xmlns:r="http://schemas.openxmlformats.org/officeDocument/2006/relationships" ref="V340" r:id="rId1008"/>
    <hyperlink xmlns:r="http://schemas.openxmlformats.org/officeDocument/2006/relationships" ref="W340" r:id="rId1009"/>
    <hyperlink xmlns:r="http://schemas.openxmlformats.org/officeDocument/2006/relationships" ref="X340" r:id="rId1010"/>
    <hyperlink xmlns:r="http://schemas.openxmlformats.org/officeDocument/2006/relationships" ref="V341" r:id="rId1011"/>
    <hyperlink xmlns:r="http://schemas.openxmlformats.org/officeDocument/2006/relationships" ref="W341" r:id="rId1012"/>
    <hyperlink xmlns:r="http://schemas.openxmlformats.org/officeDocument/2006/relationships" ref="X341" r:id="rId1013"/>
    <hyperlink xmlns:r="http://schemas.openxmlformats.org/officeDocument/2006/relationships" ref="V342" r:id="rId1014"/>
    <hyperlink xmlns:r="http://schemas.openxmlformats.org/officeDocument/2006/relationships" ref="W342" r:id="rId1015"/>
    <hyperlink xmlns:r="http://schemas.openxmlformats.org/officeDocument/2006/relationships" ref="X342" r:id="rId1016"/>
    <hyperlink xmlns:r="http://schemas.openxmlformats.org/officeDocument/2006/relationships" ref="V343" r:id="rId1017"/>
    <hyperlink xmlns:r="http://schemas.openxmlformats.org/officeDocument/2006/relationships" ref="V344" r:id="rId1018"/>
    <hyperlink xmlns:r="http://schemas.openxmlformats.org/officeDocument/2006/relationships" ref="W344" r:id="rId1019"/>
    <hyperlink xmlns:r="http://schemas.openxmlformats.org/officeDocument/2006/relationships" ref="X344" r:id="rId1020"/>
    <hyperlink xmlns:r="http://schemas.openxmlformats.org/officeDocument/2006/relationships" ref="V345" r:id="rId1021"/>
    <hyperlink xmlns:r="http://schemas.openxmlformats.org/officeDocument/2006/relationships" ref="W345" r:id="rId1022"/>
    <hyperlink xmlns:r="http://schemas.openxmlformats.org/officeDocument/2006/relationships" ref="X345" r:id="rId1023"/>
    <hyperlink xmlns:r="http://schemas.openxmlformats.org/officeDocument/2006/relationships" ref="V346" r:id="rId1024"/>
    <hyperlink xmlns:r="http://schemas.openxmlformats.org/officeDocument/2006/relationships" ref="W346" r:id="rId1025"/>
    <hyperlink xmlns:r="http://schemas.openxmlformats.org/officeDocument/2006/relationships" ref="X346" r:id="rId1026"/>
    <hyperlink xmlns:r="http://schemas.openxmlformats.org/officeDocument/2006/relationships" ref="V347" r:id="rId1027"/>
    <hyperlink xmlns:r="http://schemas.openxmlformats.org/officeDocument/2006/relationships" ref="W347" r:id="rId1028"/>
    <hyperlink xmlns:r="http://schemas.openxmlformats.org/officeDocument/2006/relationships" ref="X347" r:id="rId1029"/>
    <hyperlink xmlns:r="http://schemas.openxmlformats.org/officeDocument/2006/relationships" ref="V348" r:id="rId1030"/>
    <hyperlink xmlns:r="http://schemas.openxmlformats.org/officeDocument/2006/relationships" ref="W348" r:id="rId1031"/>
    <hyperlink xmlns:r="http://schemas.openxmlformats.org/officeDocument/2006/relationships" ref="X348" r:id="rId1032"/>
    <hyperlink xmlns:r="http://schemas.openxmlformats.org/officeDocument/2006/relationships" ref="V349" r:id="rId1033"/>
    <hyperlink xmlns:r="http://schemas.openxmlformats.org/officeDocument/2006/relationships" ref="W349" r:id="rId1034"/>
    <hyperlink xmlns:r="http://schemas.openxmlformats.org/officeDocument/2006/relationships" ref="X349" r:id="rId1035"/>
    <hyperlink xmlns:r="http://schemas.openxmlformats.org/officeDocument/2006/relationships" ref="V350" r:id="rId1036"/>
    <hyperlink xmlns:r="http://schemas.openxmlformats.org/officeDocument/2006/relationships" ref="W350" r:id="rId1037"/>
    <hyperlink xmlns:r="http://schemas.openxmlformats.org/officeDocument/2006/relationships" ref="X350" r:id="rId1038"/>
    <hyperlink xmlns:r="http://schemas.openxmlformats.org/officeDocument/2006/relationships" ref="V351" r:id="rId1039"/>
    <hyperlink xmlns:r="http://schemas.openxmlformats.org/officeDocument/2006/relationships" ref="W351" r:id="rId1040"/>
    <hyperlink xmlns:r="http://schemas.openxmlformats.org/officeDocument/2006/relationships" ref="X351" r:id="rId1041"/>
    <hyperlink xmlns:r="http://schemas.openxmlformats.org/officeDocument/2006/relationships" ref="V352" r:id="rId1042"/>
    <hyperlink xmlns:r="http://schemas.openxmlformats.org/officeDocument/2006/relationships" ref="W352" r:id="rId1043"/>
    <hyperlink xmlns:r="http://schemas.openxmlformats.org/officeDocument/2006/relationships" ref="X352" r:id="rId1044"/>
    <hyperlink xmlns:r="http://schemas.openxmlformats.org/officeDocument/2006/relationships" ref="V353" r:id="rId1045"/>
    <hyperlink xmlns:r="http://schemas.openxmlformats.org/officeDocument/2006/relationships" ref="W353" r:id="rId1046"/>
    <hyperlink xmlns:r="http://schemas.openxmlformats.org/officeDocument/2006/relationships" ref="X353" r:id="rId1047"/>
    <hyperlink xmlns:r="http://schemas.openxmlformats.org/officeDocument/2006/relationships" ref="V354" r:id="rId1048"/>
    <hyperlink xmlns:r="http://schemas.openxmlformats.org/officeDocument/2006/relationships" ref="W354" r:id="rId1049"/>
    <hyperlink xmlns:r="http://schemas.openxmlformats.org/officeDocument/2006/relationships" ref="X354" r:id="rId1050"/>
    <hyperlink xmlns:r="http://schemas.openxmlformats.org/officeDocument/2006/relationships" ref="V355" r:id="rId1051"/>
    <hyperlink xmlns:r="http://schemas.openxmlformats.org/officeDocument/2006/relationships" ref="W355" r:id="rId1052"/>
    <hyperlink xmlns:r="http://schemas.openxmlformats.org/officeDocument/2006/relationships" ref="X355" r:id="rId1053"/>
    <hyperlink xmlns:r="http://schemas.openxmlformats.org/officeDocument/2006/relationships" ref="V356" r:id="rId1054"/>
    <hyperlink xmlns:r="http://schemas.openxmlformats.org/officeDocument/2006/relationships" ref="W356" r:id="rId1055"/>
    <hyperlink xmlns:r="http://schemas.openxmlformats.org/officeDocument/2006/relationships" ref="X356" r:id="rId1056"/>
    <hyperlink xmlns:r="http://schemas.openxmlformats.org/officeDocument/2006/relationships" ref="V357" r:id="rId1057"/>
    <hyperlink xmlns:r="http://schemas.openxmlformats.org/officeDocument/2006/relationships" ref="W357" r:id="rId1058"/>
    <hyperlink xmlns:r="http://schemas.openxmlformats.org/officeDocument/2006/relationships" ref="X357" r:id="rId1059"/>
    <hyperlink xmlns:r="http://schemas.openxmlformats.org/officeDocument/2006/relationships" ref="V358" r:id="rId1060"/>
    <hyperlink xmlns:r="http://schemas.openxmlformats.org/officeDocument/2006/relationships" ref="W358" r:id="rId1061"/>
    <hyperlink xmlns:r="http://schemas.openxmlformats.org/officeDocument/2006/relationships" ref="X358" r:id="rId1062"/>
    <hyperlink xmlns:r="http://schemas.openxmlformats.org/officeDocument/2006/relationships" ref="V359" r:id="rId1063"/>
    <hyperlink xmlns:r="http://schemas.openxmlformats.org/officeDocument/2006/relationships" ref="W359" r:id="rId1064"/>
    <hyperlink xmlns:r="http://schemas.openxmlformats.org/officeDocument/2006/relationships" ref="X359" r:id="rId1065"/>
    <hyperlink xmlns:r="http://schemas.openxmlformats.org/officeDocument/2006/relationships" ref="V360" r:id="rId1066"/>
    <hyperlink xmlns:r="http://schemas.openxmlformats.org/officeDocument/2006/relationships" ref="W360" r:id="rId1067"/>
    <hyperlink xmlns:r="http://schemas.openxmlformats.org/officeDocument/2006/relationships" ref="X360" r:id="rId1068"/>
    <hyperlink xmlns:r="http://schemas.openxmlformats.org/officeDocument/2006/relationships" ref="V361" r:id="rId1069"/>
    <hyperlink xmlns:r="http://schemas.openxmlformats.org/officeDocument/2006/relationships" ref="W361" r:id="rId1070"/>
    <hyperlink xmlns:r="http://schemas.openxmlformats.org/officeDocument/2006/relationships" ref="X361" r:id="rId1071"/>
    <hyperlink xmlns:r="http://schemas.openxmlformats.org/officeDocument/2006/relationships" ref="V362" r:id="rId1072"/>
    <hyperlink xmlns:r="http://schemas.openxmlformats.org/officeDocument/2006/relationships" ref="W362" r:id="rId1073"/>
    <hyperlink xmlns:r="http://schemas.openxmlformats.org/officeDocument/2006/relationships" ref="X362" r:id="rId1074"/>
    <hyperlink xmlns:r="http://schemas.openxmlformats.org/officeDocument/2006/relationships" ref="V363" r:id="rId1075"/>
    <hyperlink xmlns:r="http://schemas.openxmlformats.org/officeDocument/2006/relationships" ref="W363" r:id="rId1076"/>
    <hyperlink xmlns:r="http://schemas.openxmlformats.org/officeDocument/2006/relationships" ref="X363" r:id="rId1077"/>
    <hyperlink xmlns:r="http://schemas.openxmlformats.org/officeDocument/2006/relationships" ref="V364" r:id="rId1078"/>
    <hyperlink xmlns:r="http://schemas.openxmlformats.org/officeDocument/2006/relationships" ref="W364" r:id="rId1079"/>
    <hyperlink xmlns:r="http://schemas.openxmlformats.org/officeDocument/2006/relationships" ref="X364" r:id="rId1080"/>
    <hyperlink xmlns:r="http://schemas.openxmlformats.org/officeDocument/2006/relationships" ref="V365" r:id="rId1081"/>
    <hyperlink xmlns:r="http://schemas.openxmlformats.org/officeDocument/2006/relationships" ref="W365" r:id="rId1082"/>
    <hyperlink xmlns:r="http://schemas.openxmlformats.org/officeDocument/2006/relationships" ref="X365" r:id="rId1083"/>
    <hyperlink xmlns:r="http://schemas.openxmlformats.org/officeDocument/2006/relationships" ref="V366" r:id="rId1084"/>
    <hyperlink xmlns:r="http://schemas.openxmlformats.org/officeDocument/2006/relationships" ref="W366" r:id="rId1085"/>
    <hyperlink xmlns:r="http://schemas.openxmlformats.org/officeDocument/2006/relationships" ref="X366" r:id="rId1086"/>
    <hyperlink xmlns:r="http://schemas.openxmlformats.org/officeDocument/2006/relationships" ref="V367" r:id="rId1087"/>
    <hyperlink xmlns:r="http://schemas.openxmlformats.org/officeDocument/2006/relationships" ref="W367" r:id="rId1088"/>
    <hyperlink xmlns:r="http://schemas.openxmlformats.org/officeDocument/2006/relationships" ref="X367" r:id="rId1089"/>
    <hyperlink xmlns:r="http://schemas.openxmlformats.org/officeDocument/2006/relationships" ref="V368" r:id="rId1090"/>
    <hyperlink xmlns:r="http://schemas.openxmlformats.org/officeDocument/2006/relationships" ref="W368" r:id="rId1091"/>
    <hyperlink xmlns:r="http://schemas.openxmlformats.org/officeDocument/2006/relationships" ref="X368" r:id="rId1092"/>
    <hyperlink xmlns:r="http://schemas.openxmlformats.org/officeDocument/2006/relationships" ref="V369" r:id="rId1093"/>
    <hyperlink xmlns:r="http://schemas.openxmlformats.org/officeDocument/2006/relationships" ref="W369" r:id="rId1094"/>
    <hyperlink xmlns:r="http://schemas.openxmlformats.org/officeDocument/2006/relationships" ref="X369" r:id="rId1095"/>
    <hyperlink xmlns:r="http://schemas.openxmlformats.org/officeDocument/2006/relationships" ref="V370" r:id="rId1096"/>
    <hyperlink xmlns:r="http://schemas.openxmlformats.org/officeDocument/2006/relationships" ref="W370" r:id="rId1097"/>
    <hyperlink xmlns:r="http://schemas.openxmlformats.org/officeDocument/2006/relationships" ref="X370" r:id="rId1098"/>
    <hyperlink xmlns:r="http://schemas.openxmlformats.org/officeDocument/2006/relationships" ref="V371" r:id="rId1099"/>
    <hyperlink xmlns:r="http://schemas.openxmlformats.org/officeDocument/2006/relationships" ref="W371" r:id="rId1100"/>
    <hyperlink xmlns:r="http://schemas.openxmlformats.org/officeDocument/2006/relationships" ref="X371" r:id="rId1101"/>
    <hyperlink xmlns:r="http://schemas.openxmlformats.org/officeDocument/2006/relationships" ref="V372" r:id="rId1102"/>
    <hyperlink xmlns:r="http://schemas.openxmlformats.org/officeDocument/2006/relationships" ref="W372" r:id="rId1103"/>
    <hyperlink xmlns:r="http://schemas.openxmlformats.org/officeDocument/2006/relationships" ref="X372" r:id="rId1104"/>
    <hyperlink xmlns:r="http://schemas.openxmlformats.org/officeDocument/2006/relationships" ref="V373" r:id="rId1105"/>
    <hyperlink xmlns:r="http://schemas.openxmlformats.org/officeDocument/2006/relationships" ref="W373" r:id="rId1106"/>
    <hyperlink xmlns:r="http://schemas.openxmlformats.org/officeDocument/2006/relationships" ref="X373" r:id="rId1107"/>
    <hyperlink xmlns:r="http://schemas.openxmlformats.org/officeDocument/2006/relationships" ref="V374" r:id="rId1108"/>
    <hyperlink xmlns:r="http://schemas.openxmlformats.org/officeDocument/2006/relationships" ref="W374" r:id="rId1109"/>
    <hyperlink xmlns:r="http://schemas.openxmlformats.org/officeDocument/2006/relationships" ref="X374" r:id="rId1110"/>
    <hyperlink xmlns:r="http://schemas.openxmlformats.org/officeDocument/2006/relationships" ref="V375" r:id="rId1111"/>
    <hyperlink xmlns:r="http://schemas.openxmlformats.org/officeDocument/2006/relationships" ref="W375" r:id="rId1112"/>
    <hyperlink xmlns:r="http://schemas.openxmlformats.org/officeDocument/2006/relationships" ref="X375" r:id="rId1113"/>
    <hyperlink xmlns:r="http://schemas.openxmlformats.org/officeDocument/2006/relationships" ref="V376" r:id="rId1114"/>
    <hyperlink xmlns:r="http://schemas.openxmlformats.org/officeDocument/2006/relationships" ref="W376" r:id="rId1115"/>
    <hyperlink xmlns:r="http://schemas.openxmlformats.org/officeDocument/2006/relationships" ref="X376" r:id="rId1116"/>
    <hyperlink xmlns:r="http://schemas.openxmlformats.org/officeDocument/2006/relationships" ref="V377" r:id="rId1117"/>
    <hyperlink xmlns:r="http://schemas.openxmlformats.org/officeDocument/2006/relationships" ref="W377" r:id="rId1118"/>
    <hyperlink xmlns:r="http://schemas.openxmlformats.org/officeDocument/2006/relationships" ref="X377" r:id="rId1119"/>
    <hyperlink xmlns:r="http://schemas.openxmlformats.org/officeDocument/2006/relationships" ref="V378" r:id="rId1120"/>
    <hyperlink xmlns:r="http://schemas.openxmlformats.org/officeDocument/2006/relationships" ref="W378" r:id="rId1121"/>
    <hyperlink xmlns:r="http://schemas.openxmlformats.org/officeDocument/2006/relationships" ref="X378" r:id="rId1122"/>
    <hyperlink xmlns:r="http://schemas.openxmlformats.org/officeDocument/2006/relationships" ref="V379" r:id="rId1123"/>
    <hyperlink xmlns:r="http://schemas.openxmlformats.org/officeDocument/2006/relationships" ref="W379" r:id="rId1124"/>
    <hyperlink xmlns:r="http://schemas.openxmlformats.org/officeDocument/2006/relationships" ref="X379" r:id="rId1125"/>
    <hyperlink xmlns:r="http://schemas.openxmlformats.org/officeDocument/2006/relationships" ref="V380" r:id="rId1126"/>
    <hyperlink xmlns:r="http://schemas.openxmlformats.org/officeDocument/2006/relationships" ref="W380" r:id="rId1127"/>
    <hyperlink xmlns:r="http://schemas.openxmlformats.org/officeDocument/2006/relationships" ref="X380" r:id="rId1128"/>
    <hyperlink xmlns:r="http://schemas.openxmlformats.org/officeDocument/2006/relationships" ref="V381" r:id="rId1129"/>
    <hyperlink xmlns:r="http://schemas.openxmlformats.org/officeDocument/2006/relationships" ref="V382" r:id="rId1130"/>
    <hyperlink xmlns:r="http://schemas.openxmlformats.org/officeDocument/2006/relationships" ref="W382" r:id="rId1131"/>
    <hyperlink xmlns:r="http://schemas.openxmlformats.org/officeDocument/2006/relationships" ref="X382" r:id="rId1132"/>
    <hyperlink xmlns:r="http://schemas.openxmlformats.org/officeDocument/2006/relationships" ref="V383" r:id="rId1133"/>
    <hyperlink xmlns:r="http://schemas.openxmlformats.org/officeDocument/2006/relationships" ref="W383" r:id="rId1134"/>
    <hyperlink xmlns:r="http://schemas.openxmlformats.org/officeDocument/2006/relationships" ref="X383" r:id="rId1135"/>
    <hyperlink xmlns:r="http://schemas.openxmlformats.org/officeDocument/2006/relationships" ref="V384" r:id="rId1136"/>
    <hyperlink xmlns:r="http://schemas.openxmlformats.org/officeDocument/2006/relationships" ref="W384" r:id="rId1137"/>
    <hyperlink xmlns:r="http://schemas.openxmlformats.org/officeDocument/2006/relationships" ref="X384" r:id="rId1138"/>
    <hyperlink xmlns:r="http://schemas.openxmlformats.org/officeDocument/2006/relationships" ref="V385" r:id="rId1139"/>
    <hyperlink xmlns:r="http://schemas.openxmlformats.org/officeDocument/2006/relationships" ref="W385" r:id="rId1140"/>
    <hyperlink xmlns:r="http://schemas.openxmlformats.org/officeDocument/2006/relationships" ref="X385" r:id="rId1141"/>
    <hyperlink xmlns:r="http://schemas.openxmlformats.org/officeDocument/2006/relationships" ref="V386" r:id="rId1142"/>
    <hyperlink xmlns:r="http://schemas.openxmlformats.org/officeDocument/2006/relationships" ref="W386" r:id="rId1143"/>
    <hyperlink xmlns:r="http://schemas.openxmlformats.org/officeDocument/2006/relationships" ref="X386" r:id="rId1144"/>
    <hyperlink xmlns:r="http://schemas.openxmlformats.org/officeDocument/2006/relationships" ref="V387" r:id="rId1145"/>
    <hyperlink xmlns:r="http://schemas.openxmlformats.org/officeDocument/2006/relationships" ref="W387" r:id="rId1146"/>
    <hyperlink xmlns:r="http://schemas.openxmlformats.org/officeDocument/2006/relationships" ref="X387" r:id="rId1147"/>
    <hyperlink xmlns:r="http://schemas.openxmlformats.org/officeDocument/2006/relationships" ref="V388" r:id="rId1148"/>
    <hyperlink xmlns:r="http://schemas.openxmlformats.org/officeDocument/2006/relationships" ref="W388" r:id="rId1149"/>
    <hyperlink xmlns:r="http://schemas.openxmlformats.org/officeDocument/2006/relationships" ref="X388" r:id="rId1150"/>
    <hyperlink xmlns:r="http://schemas.openxmlformats.org/officeDocument/2006/relationships" ref="V389" r:id="rId1151"/>
    <hyperlink xmlns:r="http://schemas.openxmlformats.org/officeDocument/2006/relationships" ref="W389" r:id="rId1152"/>
    <hyperlink xmlns:r="http://schemas.openxmlformats.org/officeDocument/2006/relationships" ref="X389" r:id="rId1153"/>
    <hyperlink xmlns:r="http://schemas.openxmlformats.org/officeDocument/2006/relationships" ref="V390" r:id="rId1154"/>
    <hyperlink xmlns:r="http://schemas.openxmlformats.org/officeDocument/2006/relationships" ref="W390" r:id="rId1155"/>
    <hyperlink xmlns:r="http://schemas.openxmlformats.org/officeDocument/2006/relationships" ref="X390" r:id="rId1156"/>
    <hyperlink xmlns:r="http://schemas.openxmlformats.org/officeDocument/2006/relationships" ref="V391" r:id="rId1157"/>
    <hyperlink xmlns:r="http://schemas.openxmlformats.org/officeDocument/2006/relationships" ref="W391" r:id="rId1158"/>
    <hyperlink xmlns:r="http://schemas.openxmlformats.org/officeDocument/2006/relationships" ref="X391" r:id="rId1159"/>
    <hyperlink xmlns:r="http://schemas.openxmlformats.org/officeDocument/2006/relationships" ref="V392" r:id="rId1160"/>
    <hyperlink xmlns:r="http://schemas.openxmlformats.org/officeDocument/2006/relationships" ref="W392" r:id="rId1161"/>
    <hyperlink xmlns:r="http://schemas.openxmlformats.org/officeDocument/2006/relationships" ref="X392" r:id="rId1162"/>
    <hyperlink xmlns:r="http://schemas.openxmlformats.org/officeDocument/2006/relationships" ref="V393" r:id="rId1163"/>
    <hyperlink xmlns:r="http://schemas.openxmlformats.org/officeDocument/2006/relationships" ref="V394" r:id="rId1164"/>
    <hyperlink xmlns:r="http://schemas.openxmlformats.org/officeDocument/2006/relationships" ref="W394" r:id="rId1165"/>
    <hyperlink xmlns:r="http://schemas.openxmlformats.org/officeDocument/2006/relationships" ref="X394" r:id="rId1166"/>
    <hyperlink xmlns:r="http://schemas.openxmlformats.org/officeDocument/2006/relationships" ref="V395" r:id="rId1167"/>
    <hyperlink xmlns:r="http://schemas.openxmlformats.org/officeDocument/2006/relationships" ref="W395" r:id="rId1168"/>
    <hyperlink xmlns:r="http://schemas.openxmlformats.org/officeDocument/2006/relationships" ref="X395" r:id="rId1169"/>
    <hyperlink xmlns:r="http://schemas.openxmlformats.org/officeDocument/2006/relationships" ref="V396" r:id="rId1170"/>
    <hyperlink xmlns:r="http://schemas.openxmlformats.org/officeDocument/2006/relationships" ref="W396" r:id="rId1171"/>
    <hyperlink xmlns:r="http://schemas.openxmlformats.org/officeDocument/2006/relationships" ref="X396" r:id="rId1172"/>
    <hyperlink xmlns:r="http://schemas.openxmlformats.org/officeDocument/2006/relationships" ref="V397" r:id="rId1173"/>
    <hyperlink xmlns:r="http://schemas.openxmlformats.org/officeDocument/2006/relationships" ref="W397" r:id="rId1174"/>
    <hyperlink xmlns:r="http://schemas.openxmlformats.org/officeDocument/2006/relationships" ref="X397" r:id="rId1175"/>
    <hyperlink xmlns:r="http://schemas.openxmlformats.org/officeDocument/2006/relationships" ref="V398" r:id="rId1176"/>
    <hyperlink xmlns:r="http://schemas.openxmlformats.org/officeDocument/2006/relationships" ref="V399" r:id="rId1177"/>
    <hyperlink xmlns:r="http://schemas.openxmlformats.org/officeDocument/2006/relationships" ref="W399" r:id="rId1178"/>
    <hyperlink xmlns:r="http://schemas.openxmlformats.org/officeDocument/2006/relationships" ref="X399" r:id="rId1179"/>
    <hyperlink xmlns:r="http://schemas.openxmlformats.org/officeDocument/2006/relationships" ref="V400" r:id="rId1180"/>
    <hyperlink xmlns:r="http://schemas.openxmlformats.org/officeDocument/2006/relationships" ref="W400" r:id="rId1181"/>
    <hyperlink xmlns:r="http://schemas.openxmlformats.org/officeDocument/2006/relationships" ref="X400" r:id="rId1182"/>
    <hyperlink xmlns:r="http://schemas.openxmlformats.org/officeDocument/2006/relationships" ref="V401" r:id="rId1183"/>
    <hyperlink xmlns:r="http://schemas.openxmlformats.org/officeDocument/2006/relationships" ref="W401" r:id="rId1184"/>
    <hyperlink xmlns:r="http://schemas.openxmlformats.org/officeDocument/2006/relationships" ref="X401" r:id="rId1185"/>
    <hyperlink xmlns:r="http://schemas.openxmlformats.org/officeDocument/2006/relationships" ref="V402" r:id="rId1186"/>
    <hyperlink xmlns:r="http://schemas.openxmlformats.org/officeDocument/2006/relationships" ref="W402" r:id="rId1187"/>
    <hyperlink xmlns:r="http://schemas.openxmlformats.org/officeDocument/2006/relationships" ref="X402" r:id="rId1188"/>
    <hyperlink xmlns:r="http://schemas.openxmlformats.org/officeDocument/2006/relationships" ref="V403" r:id="rId1189"/>
    <hyperlink xmlns:r="http://schemas.openxmlformats.org/officeDocument/2006/relationships" ref="W403" r:id="rId1190"/>
    <hyperlink xmlns:r="http://schemas.openxmlformats.org/officeDocument/2006/relationships" ref="X403" r:id="rId1191"/>
    <hyperlink xmlns:r="http://schemas.openxmlformats.org/officeDocument/2006/relationships" ref="V404" r:id="rId1192"/>
    <hyperlink xmlns:r="http://schemas.openxmlformats.org/officeDocument/2006/relationships" ref="W404" r:id="rId1193"/>
    <hyperlink xmlns:r="http://schemas.openxmlformats.org/officeDocument/2006/relationships" ref="X404" r:id="rId1194"/>
    <hyperlink xmlns:r="http://schemas.openxmlformats.org/officeDocument/2006/relationships" ref="V405" r:id="rId1195"/>
    <hyperlink xmlns:r="http://schemas.openxmlformats.org/officeDocument/2006/relationships" ref="W405" r:id="rId1196"/>
    <hyperlink xmlns:r="http://schemas.openxmlformats.org/officeDocument/2006/relationships" ref="X405" r:id="rId1197"/>
    <hyperlink xmlns:r="http://schemas.openxmlformats.org/officeDocument/2006/relationships" ref="V406" r:id="rId1198"/>
    <hyperlink xmlns:r="http://schemas.openxmlformats.org/officeDocument/2006/relationships" ref="W406" r:id="rId1199"/>
    <hyperlink xmlns:r="http://schemas.openxmlformats.org/officeDocument/2006/relationships" ref="X406" r:id="rId1200"/>
    <hyperlink xmlns:r="http://schemas.openxmlformats.org/officeDocument/2006/relationships" ref="V407" r:id="rId1201"/>
    <hyperlink xmlns:r="http://schemas.openxmlformats.org/officeDocument/2006/relationships" ref="V408" r:id="rId1202"/>
    <hyperlink xmlns:r="http://schemas.openxmlformats.org/officeDocument/2006/relationships" ref="W408" r:id="rId1203"/>
    <hyperlink xmlns:r="http://schemas.openxmlformats.org/officeDocument/2006/relationships" ref="X408" r:id="rId1204"/>
    <hyperlink xmlns:r="http://schemas.openxmlformats.org/officeDocument/2006/relationships" ref="V409" r:id="rId1205"/>
    <hyperlink xmlns:r="http://schemas.openxmlformats.org/officeDocument/2006/relationships" ref="W409" r:id="rId1206"/>
    <hyperlink xmlns:r="http://schemas.openxmlformats.org/officeDocument/2006/relationships" ref="X409" r:id="rId1207"/>
    <hyperlink xmlns:r="http://schemas.openxmlformats.org/officeDocument/2006/relationships" ref="V410" r:id="rId1208"/>
    <hyperlink xmlns:r="http://schemas.openxmlformats.org/officeDocument/2006/relationships" ref="W410" r:id="rId1209"/>
    <hyperlink xmlns:r="http://schemas.openxmlformats.org/officeDocument/2006/relationships" ref="X410" r:id="rId1210"/>
    <hyperlink xmlns:r="http://schemas.openxmlformats.org/officeDocument/2006/relationships" ref="V411" r:id="rId1211"/>
    <hyperlink xmlns:r="http://schemas.openxmlformats.org/officeDocument/2006/relationships" ref="W411" r:id="rId1212"/>
    <hyperlink xmlns:r="http://schemas.openxmlformats.org/officeDocument/2006/relationships" ref="X411" r:id="rId1213"/>
    <hyperlink xmlns:r="http://schemas.openxmlformats.org/officeDocument/2006/relationships" ref="V412" r:id="rId1214"/>
    <hyperlink xmlns:r="http://schemas.openxmlformats.org/officeDocument/2006/relationships" ref="W412" r:id="rId1215"/>
    <hyperlink xmlns:r="http://schemas.openxmlformats.org/officeDocument/2006/relationships" ref="X412" r:id="rId1216"/>
    <hyperlink xmlns:r="http://schemas.openxmlformats.org/officeDocument/2006/relationships" ref="V413" r:id="rId1217"/>
    <hyperlink xmlns:r="http://schemas.openxmlformats.org/officeDocument/2006/relationships" ref="W413" r:id="rId1218"/>
    <hyperlink xmlns:r="http://schemas.openxmlformats.org/officeDocument/2006/relationships" ref="X413" r:id="rId1219"/>
    <hyperlink xmlns:r="http://schemas.openxmlformats.org/officeDocument/2006/relationships" ref="V414" r:id="rId1220"/>
    <hyperlink xmlns:r="http://schemas.openxmlformats.org/officeDocument/2006/relationships" ref="W414" r:id="rId1221"/>
    <hyperlink xmlns:r="http://schemas.openxmlformats.org/officeDocument/2006/relationships" ref="X414" r:id="rId1222"/>
    <hyperlink xmlns:r="http://schemas.openxmlformats.org/officeDocument/2006/relationships" ref="V415" r:id="rId1223"/>
    <hyperlink xmlns:r="http://schemas.openxmlformats.org/officeDocument/2006/relationships" ref="W415" r:id="rId1224"/>
    <hyperlink xmlns:r="http://schemas.openxmlformats.org/officeDocument/2006/relationships" ref="X415" r:id="rId1225"/>
    <hyperlink xmlns:r="http://schemas.openxmlformats.org/officeDocument/2006/relationships" ref="V416" r:id="rId1226"/>
    <hyperlink xmlns:r="http://schemas.openxmlformats.org/officeDocument/2006/relationships" ref="W416" r:id="rId1227"/>
    <hyperlink xmlns:r="http://schemas.openxmlformats.org/officeDocument/2006/relationships" ref="X416" r:id="rId1228"/>
    <hyperlink xmlns:r="http://schemas.openxmlformats.org/officeDocument/2006/relationships" ref="V417" r:id="rId1229"/>
    <hyperlink xmlns:r="http://schemas.openxmlformats.org/officeDocument/2006/relationships" ref="V418" r:id="rId1230"/>
    <hyperlink xmlns:r="http://schemas.openxmlformats.org/officeDocument/2006/relationships" ref="W418" r:id="rId1231"/>
    <hyperlink xmlns:r="http://schemas.openxmlformats.org/officeDocument/2006/relationships" ref="X418" r:id="rId1232"/>
    <hyperlink xmlns:r="http://schemas.openxmlformats.org/officeDocument/2006/relationships" ref="V419" r:id="rId1233"/>
    <hyperlink xmlns:r="http://schemas.openxmlformats.org/officeDocument/2006/relationships" ref="W419" r:id="rId1234"/>
    <hyperlink xmlns:r="http://schemas.openxmlformats.org/officeDocument/2006/relationships" ref="X419" r:id="rId1235"/>
    <hyperlink xmlns:r="http://schemas.openxmlformats.org/officeDocument/2006/relationships" ref="V420" r:id="rId1236"/>
    <hyperlink xmlns:r="http://schemas.openxmlformats.org/officeDocument/2006/relationships" ref="W420" r:id="rId1237"/>
    <hyperlink xmlns:r="http://schemas.openxmlformats.org/officeDocument/2006/relationships" ref="X420" r:id="rId1238"/>
    <hyperlink xmlns:r="http://schemas.openxmlformats.org/officeDocument/2006/relationships" ref="V421" r:id="rId1239"/>
    <hyperlink xmlns:r="http://schemas.openxmlformats.org/officeDocument/2006/relationships" ref="W421" r:id="rId1240"/>
    <hyperlink xmlns:r="http://schemas.openxmlformats.org/officeDocument/2006/relationships" ref="X421" r:id="rId1241"/>
    <hyperlink xmlns:r="http://schemas.openxmlformats.org/officeDocument/2006/relationships" ref="V422" r:id="rId1242"/>
    <hyperlink xmlns:r="http://schemas.openxmlformats.org/officeDocument/2006/relationships" ref="W422" r:id="rId1243"/>
    <hyperlink xmlns:r="http://schemas.openxmlformats.org/officeDocument/2006/relationships" ref="X422" r:id="rId1244"/>
    <hyperlink xmlns:r="http://schemas.openxmlformats.org/officeDocument/2006/relationships" ref="V423" r:id="rId1245"/>
    <hyperlink xmlns:r="http://schemas.openxmlformats.org/officeDocument/2006/relationships" ref="W423" r:id="rId1246"/>
    <hyperlink xmlns:r="http://schemas.openxmlformats.org/officeDocument/2006/relationships" ref="X423" r:id="rId1247"/>
    <hyperlink xmlns:r="http://schemas.openxmlformats.org/officeDocument/2006/relationships" ref="V424" r:id="rId1248"/>
    <hyperlink xmlns:r="http://schemas.openxmlformats.org/officeDocument/2006/relationships" ref="W424" r:id="rId1249"/>
    <hyperlink xmlns:r="http://schemas.openxmlformats.org/officeDocument/2006/relationships" ref="X424" r:id="rId1250"/>
    <hyperlink xmlns:r="http://schemas.openxmlformats.org/officeDocument/2006/relationships" ref="V425" r:id="rId1251"/>
    <hyperlink xmlns:r="http://schemas.openxmlformats.org/officeDocument/2006/relationships" ref="W425" r:id="rId1252"/>
    <hyperlink xmlns:r="http://schemas.openxmlformats.org/officeDocument/2006/relationships" ref="X425" r:id="rId1253"/>
    <hyperlink xmlns:r="http://schemas.openxmlformats.org/officeDocument/2006/relationships" ref="V426" r:id="rId1254"/>
    <hyperlink xmlns:r="http://schemas.openxmlformats.org/officeDocument/2006/relationships" ref="W426" r:id="rId1255"/>
    <hyperlink xmlns:r="http://schemas.openxmlformats.org/officeDocument/2006/relationships" ref="X426" r:id="rId1256"/>
    <hyperlink xmlns:r="http://schemas.openxmlformats.org/officeDocument/2006/relationships" ref="V427" r:id="rId1257"/>
    <hyperlink xmlns:r="http://schemas.openxmlformats.org/officeDocument/2006/relationships" ref="W427" r:id="rId1258"/>
    <hyperlink xmlns:r="http://schemas.openxmlformats.org/officeDocument/2006/relationships" ref="X427" r:id="rId1259"/>
    <hyperlink xmlns:r="http://schemas.openxmlformats.org/officeDocument/2006/relationships" ref="V428" r:id="rId1260"/>
    <hyperlink xmlns:r="http://schemas.openxmlformats.org/officeDocument/2006/relationships" ref="W428" r:id="rId1261"/>
    <hyperlink xmlns:r="http://schemas.openxmlformats.org/officeDocument/2006/relationships" ref="X428" r:id="rId1262"/>
    <hyperlink xmlns:r="http://schemas.openxmlformats.org/officeDocument/2006/relationships" ref="V429" r:id="rId1263"/>
    <hyperlink xmlns:r="http://schemas.openxmlformats.org/officeDocument/2006/relationships" ref="W429" r:id="rId1264"/>
    <hyperlink xmlns:r="http://schemas.openxmlformats.org/officeDocument/2006/relationships" ref="X429" r:id="rId1265"/>
    <hyperlink xmlns:r="http://schemas.openxmlformats.org/officeDocument/2006/relationships" ref="V430" r:id="rId1266"/>
    <hyperlink xmlns:r="http://schemas.openxmlformats.org/officeDocument/2006/relationships" ref="W430" r:id="rId1267"/>
    <hyperlink xmlns:r="http://schemas.openxmlformats.org/officeDocument/2006/relationships" ref="X430" r:id="rId1268"/>
    <hyperlink xmlns:r="http://schemas.openxmlformats.org/officeDocument/2006/relationships" ref="V431" r:id="rId1269"/>
    <hyperlink xmlns:r="http://schemas.openxmlformats.org/officeDocument/2006/relationships" ref="W431" r:id="rId1270"/>
    <hyperlink xmlns:r="http://schemas.openxmlformats.org/officeDocument/2006/relationships" ref="X431" r:id="rId1271"/>
    <hyperlink xmlns:r="http://schemas.openxmlformats.org/officeDocument/2006/relationships" ref="V432" r:id="rId1272"/>
    <hyperlink xmlns:r="http://schemas.openxmlformats.org/officeDocument/2006/relationships" ref="W432" r:id="rId1273"/>
    <hyperlink xmlns:r="http://schemas.openxmlformats.org/officeDocument/2006/relationships" ref="X432" r:id="rId1274"/>
    <hyperlink xmlns:r="http://schemas.openxmlformats.org/officeDocument/2006/relationships" ref="V433" r:id="rId1275"/>
    <hyperlink xmlns:r="http://schemas.openxmlformats.org/officeDocument/2006/relationships" ref="W433" r:id="rId1276"/>
    <hyperlink xmlns:r="http://schemas.openxmlformats.org/officeDocument/2006/relationships" ref="X433" r:id="rId1277"/>
    <hyperlink xmlns:r="http://schemas.openxmlformats.org/officeDocument/2006/relationships" ref="V434" r:id="rId1278"/>
    <hyperlink xmlns:r="http://schemas.openxmlformats.org/officeDocument/2006/relationships" ref="W434" r:id="rId1279"/>
    <hyperlink xmlns:r="http://schemas.openxmlformats.org/officeDocument/2006/relationships" ref="X434" r:id="rId1280"/>
    <hyperlink xmlns:r="http://schemas.openxmlformats.org/officeDocument/2006/relationships" ref="V435" r:id="rId1281"/>
    <hyperlink xmlns:r="http://schemas.openxmlformats.org/officeDocument/2006/relationships" ref="W435" r:id="rId1282"/>
    <hyperlink xmlns:r="http://schemas.openxmlformats.org/officeDocument/2006/relationships" ref="X435" r:id="rId1283"/>
    <hyperlink xmlns:r="http://schemas.openxmlformats.org/officeDocument/2006/relationships" ref="V436" r:id="rId1284"/>
    <hyperlink xmlns:r="http://schemas.openxmlformats.org/officeDocument/2006/relationships" ref="W436" r:id="rId1285"/>
    <hyperlink xmlns:r="http://schemas.openxmlformats.org/officeDocument/2006/relationships" ref="X436" r:id="rId1286"/>
    <hyperlink xmlns:r="http://schemas.openxmlformats.org/officeDocument/2006/relationships" ref="V437" r:id="rId1287"/>
    <hyperlink xmlns:r="http://schemas.openxmlformats.org/officeDocument/2006/relationships" ref="W437" r:id="rId1288"/>
    <hyperlink xmlns:r="http://schemas.openxmlformats.org/officeDocument/2006/relationships" ref="X437" r:id="rId1289"/>
    <hyperlink xmlns:r="http://schemas.openxmlformats.org/officeDocument/2006/relationships" ref="V438" r:id="rId1290"/>
    <hyperlink xmlns:r="http://schemas.openxmlformats.org/officeDocument/2006/relationships" ref="W438" r:id="rId1291"/>
    <hyperlink xmlns:r="http://schemas.openxmlformats.org/officeDocument/2006/relationships" ref="X438" r:id="rId1292"/>
    <hyperlink xmlns:r="http://schemas.openxmlformats.org/officeDocument/2006/relationships" ref="V439" r:id="rId1293"/>
    <hyperlink xmlns:r="http://schemas.openxmlformats.org/officeDocument/2006/relationships" ref="W439" r:id="rId1294"/>
    <hyperlink xmlns:r="http://schemas.openxmlformats.org/officeDocument/2006/relationships" ref="X439" r:id="rId1295"/>
    <hyperlink xmlns:r="http://schemas.openxmlformats.org/officeDocument/2006/relationships" ref="V440" r:id="rId1296"/>
    <hyperlink xmlns:r="http://schemas.openxmlformats.org/officeDocument/2006/relationships" ref="W440" r:id="rId1297"/>
    <hyperlink xmlns:r="http://schemas.openxmlformats.org/officeDocument/2006/relationships" ref="X440" r:id="rId1298"/>
    <hyperlink xmlns:r="http://schemas.openxmlformats.org/officeDocument/2006/relationships" ref="V441" r:id="rId1299"/>
    <hyperlink xmlns:r="http://schemas.openxmlformats.org/officeDocument/2006/relationships" ref="W441" r:id="rId1300"/>
    <hyperlink xmlns:r="http://schemas.openxmlformats.org/officeDocument/2006/relationships" ref="X441" r:id="rId1301"/>
    <hyperlink xmlns:r="http://schemas.openxmlformats.org/officeDocument/2006/relationships" ref="V442" r:id="rId1302"/>
    <hyperlink xmlns:r="http://schemas.openxmlformats.org/officeDocument/2006/relationships" ref="W442" r:id="rId1303"/>
    <hyperlink xmlns:r="http://schemas.openxmlformats.org/officeDocument/2006/relationships" ref="X442" r:id="rId1304"/>
    <hyperlink xmlns:r="http://schemas.openxmlformats.org/officeDocument/2006/relationships" ref="V443" r:id="rId1305"/>
    <hyperlink xmlns:r="http://schemas.openxmlformats.org/officeDocument/2006/relationships" ref="W443" r:id="rId1306"/>
    <hyperlink xmlns:r="http://schemas.openxmlformats.org/officeDocument/2006/relationships" ref="X443" r:id="rId1307"/>
    <hyperlink xmlns:r="http://schemas.openxmlformats.org/officeDocument/2006/relationships" ref="V444" r:id="rId1308"/>
    <hyperlink xmlns:r="http://schemas.openxmlformats.org/officeDocument/2006/relationships" ref="W444" r:id="rId1309"/>
    <hyperlink xmlns:r="http://schemas.openxmlformats.org/officeDocument/2006/relationships" ref="X444" r:id="rId1310"/>
    <hyperlink xmlns:r="http://schemas.openxmlformats.org/officeDocument/2006/relationships" ref="V445" r:id="rId1311"/>
    <hyperlink xmlns:r="http://schemas.openxmlformats.org/officeDocument/2006/relationships" ref="W445" r:id="rId1312"/>
    <hyperlink xmlns:r="http://schemas.openxmlformats.org/officeDocument/2006/relationships" ref="X445" r:id="rId1313"/>
    <hyperlink xmlns:r="http://schemas.openxmlformats.org/officeDocument/2006/relationships" ref="V446" r:id="rId1314"/>
    <hyperlink xmlns:r="http://schemas.openxmlformats.org/officeDocument/2006/relationships" ref="W446" r:id="rId1315"/>
    <hyperlink xmlns:r="http://schemas.openxmlformats.org/officeDocument/2006/relationships" ref="X446" r:id="rId1316"/>
    <hyperlink xmlns:r="http://schemas.openxmlformats.org/officeDocument/2006/relationships" ref="V447" r:id="rId1317"/>
    <hyperlink xmlns:r="http://schemas.openxmlformats.org/officeDocument/2006/relationships" ref="W447" r:id="rId1318"/>
    <hyperlink xmlns:r="http://schemas.openxmlformats.org/officeDocument/2006/relationships" ref="X447" r:id="rId1319"/>
    <hyperlink xmlns:r="http://schemas.openxmlformats.org/officeDocument/2006/relationships" ref="V448" r:id="rId1320"/>
    <hyperlink xmlns:r="http://schemas.openxmlformats.org/officeDocument/2006/relationships" ref="W448" r:id="rId1321"/>
    <hyperlink xmlns:r="http://schemas.openxmlformats.org/officeDocument/2006/relationships" ref="X448" r:id="rId1322"/>
    <hyperlink xmlns:r="http://schemas.openxmlformats.org/officeDocument/2006/relationships" ref="V449" r:id="rId1323"/>
    <hyperlink xmlns:r="http://schemas.openxmlformats.org/officeDocument/2006/relationships" ref="W449" r:id="rId1324"/>
    <hyperlink xmlns:r="http://schemas.openxmlformats.org/officeDocument/2006/relationships" ref="X449" r:id="rId1325"/>
    <hyperlink xmlns:r="http://schemas.openxmlformats.org/officeDocument/2006/relationships" ref="V450" r:id="rId1326"/>
    <hyperlink xmlns:r="http://schemas.openxmlformats.org/officeDocument/2006/relationships" ref="W450" r:id="rId1327"/>
    <hyperlink xmlns:r="http://schemas.openxmlformats.org/officeDocument/2006/relationships" ref="X450" r:id="rId1328"/>
    <hyperlink xmlns:r="http://schemas.openxmlformats.org/officeDocument/2006/relationships" ref="V451" r:id="rId1329"/>
    <hyperlink xmlns:r="http://schemas.openxmlformats.org/officeDocument/2006/relationships" ref="W451" r:id="rId1330"/>
    <hyperlink xmlns:r="http://schemas.openxmlformats.org/officeDocument/2006/relationships" ref="X451" r:id="rId1331"/>
    <hyperlink xmlns:r="http://schemas.openxmlformats.org/officeDocument/2006/relationships" ref="V452" r:id="rId1332"/>
    <hyperlink xmlns:r="http://schemas.openxmlformats.org/officeDocument/2006/relationships" ref="W452" r:id="rId1333"/>
    <hyperlink xmlns:r="http://schemas.openxmlformats.org/officeDocument/2006/relationships" ref="X452" r:id="rId1334"/>
    <hyperlink xmlns:r="http://schemas.openxmlformats.org/officeDocument/2006/relationships" ref="V453" r:id="rId1335"/>
    <hyperlink xmlns:r="http://schemas.openxmlformats.org/officeDocument/2006/relationships" ref="W453" r:id="rId1336"/>
    <hyperlink xmlns:r="http://schemas.openxmlformats.org/officeDocument/2006/relationships" ref="X453" r:id="rId1337"/>
    <hyperlink xmlns:r="http://schemas.openxmlformats.org/officeDocument/2006/relationships" ref="V454" r:id="rId1338"/>
    <hyperlink xmlns:r="http://schemas.openxmlformats.org/officeDocument/2006/relationships" ref="W454" r:id="rId1339"/>
    <hyperlink xmlns:r="http://schemas.openxmlformats.org/officeDocument/2006/relationships" ref="X454" r:id="rId1340"/>
    <hyperlink xmlns:r="http://schemas.openxmlformats.org/officeDocument/2006/relationships" ref="V455" r:id="rId1341"/>
    <hyperlink xmlns:r="http://schemas.openxmlformats.org/officeDocument/2006/relationships" ref="W455" r:id="rId1342"/>
    <hyperlink xmlns:r="http://schemas.openxmlformats.org/officeDocument/2006/relationships" ref="X455" r:id="rId1343"/>
    <hyperlink xmlns:r="http://schemas.openxmlformats.org/officeDocument/2006/relationships" ref="V456" r:id="rId1344"/>
    <hyperlink xmlns:r="http://schemas.openxmlformats.org/officeDocument/2006/relationships" ref="W456" r:id="rId1345"/>
    <hyperlink xmlns:r="http://schemas.openxmlformats.org/officeDocument/2006/relationships" ref="X456" r:id="rId1346"/>
    <hyperlink xmlns:r="http://schemas.openxmlformats.org/officeDocument/2006/relationships" ref="V457" r:id="rId1347"/>
    <hyperlink xmlns:r="http://schemas.openxmlformats.org/officeDocument/2006/relationships" ref="W457" r:id="rId1348"/>
    <hyperlink xmlns:r="http://schemas.openxmlformats.org/officeDocument/2006/relationships" ref="X457" r:id="rId1349"/>
    <hyperlink xmlns:r="http://schemas.openxmlformats.org/officeDocument/2006/relationships" ref="V458" r:id="rId1350"/>
    <hyperlink xmlns:r="http://schemas.openxmlformats.org/officeDocument/2006/relationships" ref="W458" r:id="rId1351"/>
    <hyperlink xmlns:r="http://schemas.openxmlformats.org/officeDocument/2006/relationships" ref="X458" r:id="rId1352"/>
    <hyperlink xmlns:r="http://schemas.openxmlformats.org/officeDocument/2006/relationships" ref="V459" r:id="rId1353"/>
    <hyperlink xmlns:r="http://schemas.openxmlformats.org/officeDocument/2006/relationships" ref="W459" r:id="rId1354"/>
    <hyperlink xmlns:r="http://schemas.openxmlformats.org/officeDocument/2006/relationships" ref="X459" r:id="rId1355"/>
    <hyperlink xmlns:r="http://schemas.openxmlformats.org/officeDocument/2006/relationships" ref="V460" r:id="rId1356"/>
    <hyperlink xmlns:r="http://schemas.openxmlformats.org/officeDocument/2006/relationships" ref="W460" r:id="rId1357"/>
    <hyperlink xmlns:r="http://schemas.openxmlformats.org/officeDocument/2006/relationships" ref="X460" r:id="rId1358"/>
    <hyperlink xmlns:r="http://schemas.openxmlformats.org/officeDocument/2006/relationships" ref="V461" r:id="rId1359"/>
    <hyperlink xmlns:r="http://schemas.openxmlformats.org/officeDocument/2006/relationships" ref="W461" r:id="rId1360"/>
    <hyperlink xmlns:r="http://schemas.openxmlformats.org/officeDocument/2006/relationships" ref="X461" r:id="rId1361"/>
    <hyperlink xmlns:r="http://schemas.openxmlformats.org/officeDocument/2006/relationships" ref="V462" r:id="rId1362"/>
    <hyperlink xmlns:r="http://schemas.openxmlformats.org/officeDocument/2006/relationships" ref="W462" r:id="rId1363"/>
    <hyperlink xmlns:r="http://schemas.openxmlformats.org/officeDocument/2006/relationships" ref="X462" r:id="rId1364"/>
    <hyperlink xmlns:r="http://schemas.openxmlformats.org/officeDocument/2006/relationships" ref="V463" r:id="rId1365"/>
    <hyperlink xmlns:r="http://schemas.openxmlformats.org/officeDocument/2006/relationships" ref="V464" r:id="rId1366"/>
    <hyperlink xmlns:r="http://schemas.openxmlformats.org/officeDocument/2006/relationships" ref="W464" r:id="rId1367"/>
    <hyperlink xmlns:r="http://schemas.openxmlformats.org/officeDocument/2006/relationships" ref="X464" r:id="rId1368"/>
    <hyperlink xmlns:r="http://schemas.openxmlformats.org/officeDocument/2006/relationships" ref="V465" r:id="rId1369"/>
    <hyperlink xmlns:r="http://schemas.openxmlformats.org/officeDocument/2006/relationships" ref="W465" r:id="rId1370"/>
    <hyperlink xmlns:r="http://schemas.openxmlformats.org/officeDocument/2006/relationships" ref="X465" r:id="rId1371"/>
    <hyperlink xmlns:r="http://schemas.openxmlformats.org/officeDocument/2006/relationships" ref="V466" r:id="rId1372"/>
    <hyperlink xmlns:r="http://schemas.openxmlformats.org/officeDocument/2006/relationships" ref="W466" r:id="rId1373"/>
    <hyperlink xmlns:r="http://schemas.openxmlformats.org/officeDocument/2006/relationships" ref="X466" r:id="rId1374"/>
    <hyperlink xmlns:r="http://schemas.openxmlformats.org/officeDocument/2006/relationships" ref="V467" r:id="rId1375"/>
    <hyperlink xmlns:r="http://schemas.openxmlformats.org/officeDocument/2006/relationships" ref="W467" r:id="rId1376"/>
    <hyperlink xmlns:r="http://schemas.openxmlformats.org/officeDocument/2006/relationships" ref="X467" r:id="rId1377"/>
    <hyperlink xmlns:r="http://schemas.openxmlformats.org/officeDocument/2006/relationships" ref="V468" r:id="rId1378"/>
    <hyperlink xmlns:r="http://schemas.openxmlformats.org/officeDocument/2006/relationships" ref="W468" r:id="rId1379"/>
    <hyperlink xmlns:r="http://schemas.openxmlformats.org/officeDocument/2006/relationships" ref="X468" r:id="rId1380"/>
    <hyperlink xmlns:r="http://schemas.openxmlformats.org/officeDocument/2006/relationships" ref="V469" r:id="rId1381"/>
    <hyperlink xmlns:r="http://schemas.openxmlformats.org/officeDocument/2006/relationships" ref="W469" r:id="rId1382"/>
    <hyperlink xmlns:r="http://schemas.openxmlformats.org/officeDocument/2006/relationships" ref="X469" r:id="rId1383"/>
    <hyperlink xmlns:r="http://schemas.openxmlformats.org/officeDocument/2006/relationships" ref="V470" r:id="rId1384"/>
    <hyperlink xmlns:r="http://schemas.openxmlformats.org/officeDocument/2006/relationships" ref="W470" r:id="rId1385"/>
    <hyperlink xmlns:r="http://schemas.openxmlformats.org/officeDocument/2006/relationships" ref="X470" r:id="rId1386"/>
    <hyperlink xmlns:r="http://schemas.openxmlformats.org/officeDocument/2006/relationships" ref="V471" r:id="rId1387"/>
    <hyperlink xmlns:r="http://schemas.openxmlformats.org/officeDocument/2006/relationships" ref="W471" r:id="rId1388"/>
    <hyperlink xmlns:r="http://schemas.openxmlformats.org/officeDocument/2006/relationships" ref="X471" r:id="rId1389"/>
    <hyperlink xmlns:r="http://schemas.openxmlformats.org/officeDocument/2006/relationships" ref="V472" r:id="rId1390"/>
    <hyperlink xmlns:r="http://schemas.openxmlformats.org/officeDocument/2006/relationships" ref="W472" r:id="rId1391"/>
    <hyperlink xmlns:r="http://schemas.openxmlformats.org/officeDocument/2006/relationships" ref="X472" r:id="rId1392"/>
    <hyperlink xmlns:r="http://schemas.openxmlformats.org/officeDocument/2006/relationships" ref="V473" r:id="rId1393"/>
    <hyperlink xmlns:r="http://schemas.openxmlformats.org/officeDocument/2006/relationships" ref="W473" r:id="rId1394"/>
    <hyperlink xmlns:r="http://schemas.openxmlformats.org/officeDocument/2006/relationships" ref="X473" r:id="rId1395"/>
    <hyperlink xmlns:r="http://schemas.openxmlformats.org/officeDocument/2006/relationships" ref="V474" r:id="rId1396"/>
    <hyperlink xmlns:r="http://schemas.openxmlformats.org/officeDocument/2006/relationships" ref="W474" r:id="rId1397"/>
    <hyperlink xmlns:r="http://schemas.openxmlformats.org/officeDocument/2006/relationships" ref="X474" r:id="rId1398"/>
    <hyperlink xmlns:r="http://schemas.openxmlformats.org/officeDocument/2006/relationships" ref="V475" r:id="rId1399"/>
    <hyperlink xmlns:r="http://schemas.openxmlformats.org/officeDocument/2006/relationships" ref="W475" r:id="rId1400"/>
    <hyperlink xmlns:r="http://schemas.openxmlformats.org/officeDocument/2006/relationships" ref="X475" r:id="rId1401"/>
    <hyperlink xmlns:r="http://schemas.openxmlformats.org/officeDocument/2006/relationships" ref="V476" r:id="rId1402"/>
    <hyperlink xmlns:r="http://schemas.openxmlformats.org/officeDocument/2006/relationships" ref="W476" r:id="rId1403"/>
    <hyperlink xmlns:r="http://schemas.openxmlformats.org/officeDocument/2006/relationships" ref="X476" r:id="rId1404"/>
    <hyperlink xmlns:r="http://schemas.openxmlformats.org/officeDocument/2006/relationships" ref="V477" r:id="rId1405"/>
    <hyperlink xmlns:r="http://schemas.openxmlformats.org/officeDocument/2006/relationships" ref="W477" r:id="rId1406"/>
    <hyperlink xmlns:r="http://schemas.openxmlformats.org/officeDocument/2006/relationships" ref="X477" r:id="rId1407"/>
    <hyperlink xmlns:r="http://schemas.openxmlformats.org/officeDocument/2006/relationships" ref="V478" r:id="rId1408"/>
    <hyperlink xmlns:r="http://schemas.openxmlformats.org/officeDocument/2006/relationships" ref="W478" r:id="rId1409"/>
    <hyperlink xmlns:r="http://schemas.openxmlformats.org/officeDocument/2006/relationships" ref="X478" r:id="rId1410"/>
    <hyperlink xmlns:r="http://schemas.openxmlformats.org/officeDocument/2006/relationships" ref="V479" r:id="rId1411"/>
    <hyperlink xmlns:r="http://schemas.openxmlformats.org/officeDocument/2006/relationships" ref="W479" r:id="rId1412"/>
    <hyperlink xmlns:r="http://schemas.openxmlformats.org/officeDocument/2006/relationships" ref="X479" r:id="rId1413"/>
    <hyperlink xmlns:r="http://schemas.openxmlformats.org/officeDocument/2006/relationships" ref="V480" r:id="rId1414"/>
    <hyperlink xmlns:r="http://schemas.openxmlformats.org/officeDocument/2006/relationships" ref="W480" r:id="rId1415"/>
    <hyperlink xmlns:r="http://schemas.openxmlformats.org/officeDocument/2006/relationships" ref="X480" r:id="rId1416"/>
    <hyperlink xmlns:r="http://schemas.openxmlformats.org/officeDocument/2006/relationships" ref="V481" r:id="rId1417"/>
    <hyperlink xmlns:r="http://schemas.openxmlformats.org/officeDocument/2006/relationships" ref="W481" r:id="rId1418"/>
    <hyperlink xmlns:r="http://schemas.openxmlformats.org/officeDocument/2006/relationships" ref="X481" r:id="rId1419"/>
    <hyperlink xmlns:r="http://schemas.openxmlformats.org/officeDocument/2006/relationships" ref="V482" r:id="rId1420"/>
    <hyperlink xmlns:r="http://schemas.openxmlformats.org/officeDocument/2006/relationships" ref="W482" r:id="rId1421"/>
    <hyperlink xmlns:r="http://schemas.openxmlformats.org/officeDocument/2006/relationships" ref="X482" r:id="rId1422"/>
    <hyperlink xmlns:r="http://schemas.openxmlformats.org/officeDocument/2006/relationships" ref="V483" r:id="rId1423"/>
    <hyperlink xmlns:r="http://schemas.openxmlformats.org/officeDocument/2006/relationships" ref="W483" r:id="rId1424"/>
    <hyperlink xmlns:r="http://schemas.openxmlformats.org/officeDocument/2006/relationships" ref="X483" r:id="rId1425"/>
    <hyperlink xmlns:r="http://schemas.openxmlformats.org/officeDocument/2006/relationships" ref="V484" r:id="rId1426"/>
    <hyperlink xmlns:r="http://schemas.openxmlformats.org/officeDocument/2006/relationships" ref="W484" r:id="rId1427"/>
    <hyperlink xmlns:r="http://schemas.openxmlformats.org/officeDocument/2006/relationships" ref="X484" r:id="rId1428"/>
    <hyperlink xmlns:r="http://schemas.openxmlformats.org/officeDocument/2006/relationships" ref="V485" r:id="rId1429"/>
    <hyperlink xmlns:r="http://schemas.openxmlformats.org/officeDocument/2006/relationships" ref="W485" r:id="rId1430"/>
    <hyperlink xmlns:r="http://schemas.openxmlformats.org/officeDocument/2006/relationships" ref="X485" r:id="rId1431"/>
    <hyperlink xmlns:r="http://schemas.openxmlformats.org/officeDocument/2006/relationships" ref="V486" r:id="rId1432"/>
    <hyperlink xmlns:r="http://schemas.openxmlformats.org/officeDocument/2006/relationships" ref="W486" r:id="rId1433"/>
    <hyperlink xmlns:r="http://schemas.openxmlformats.org/officeDocument/2006/relationships" ref="X486" r:id="rId1434"/>
    <hyperlink xmlns:r="http://schemas.openxmlformats.org/officeDocument/2006/relationships" ref="V487" r:id="rId1435"/>
    <hyperlink xmlns:r="http://schemas.openxmlformats.org/officeDocument/2006/relationships" ref="W487" r:id="rId1436"/>
    <hyperlink xmlns:r="http://schemas.openxmlformats.org/officeDocument/2006/relationships" ref="X487" r:id="rId1437"/>
    <hyperlink xmlns:r="http://schemas.openxmlformats.org/officeDocument/2006/relationships" ref="V488" r:id="rId1438"/>
    <hyperlink xmlns:r="http://schemas.openxmlformats.org/officeDocument/2006/relationships" ref="W488" r:id="rId1439"/>
    <hyperlink xmlns:r="http://schemas.openxmlformats.org/officeDocument/2006/relationships" ref="X488" r:id="rId1440"/>
    <hyperlink xmlns:r="http://schemas.openxmlformats.org/officeDocument/2006/relationships" ref="V489" r:id="rId1441"/>
    <hyperlink xmlns:r="http://schemas.openxmlformats.org/officeDocument/2006/relationships" ref="W489" r:id="rId1442"/>
    <hyperlink xmlns:r="http://schemas.openxmlformats.org/officeDocument/2006/relationships" ref="X489" r:id="rId1443"/>
    <hyperlink xmlns:r="http://schemas.openxmlformats.org/officeDocument/2006/relationships" ref="V490" r:id="rId1444"/>
    <hyperlink xmlns:r="http://schemas.openxmlformats.org/officeDocument/2006/relationships" ref="W490" r:id="rId1445"/>
    <hyperlink xmlns:r="http://schemas.openxmlformats.org/officeDocument/2006/relationships" ref="X490" r:id="rId1446"/>
    <hyperlink xmlns:r="http://schemas.openxmlformats.org/officeDocument/2006/relationships" ref="V491" r:id="rId1447"/>
    <hyperlink xmlns:r="http://schemas.openxmlformats.org/officeDocument/2006/relationships" ref="W491" r:id="rId1448"/>
    <hyperlink xmlns:r="http://schemas.openxmlformats.org/officeDocument/2006/relationships" ref="X491" r:id="rId1449"/>
    <hyperlink xmlns:r="http://schemas.openxmlformats.org/officeDocument/2006/relationships" ref="V492" r:id="rId1450"/>
    <hyperlink xmlns:r="http://schemas.openxmlformats.org/officeDocument/2006/relationships" ref="W492" r:id="rId1451"/>
    <hyperlink xmlns:r="http://schemas.openxmlformats.org/officeDocument/2006/relationships" ref="X492" r:id="rId1452"/>
    <hyperlink xmlns:r="http://schemas.openxmlformats.org/officeDocument/2006/relationships" ref="V493" r:id="rId1453"/>
    <hyperlink xmlns:r="http://schemas.openxmlformats.org/officeDocument/2006/relationships" ref="W493" r:id="rId1454"/>
    <hyperlink xmlns:r="http://schemas.openxmlformats.org/officeDocument/2006/relationships" ref="X493" r:id="rId1455"/>
    <hyperlink xmlns:r="http://schemas.openxmlformats.org/officeDocument/2006/relationships" ref="V494" r:id="rId1456"/>
    <hyperlink xmlns:r="http://schemas.openxmlformats.org/officeDocument/2006/relationships" ref="W494" r:id="rId1457"/>
    <hyperlink xmlns:r="http://schemas.openxmlformats.org/officeDocument/2006/relationships" ref="X494" r:id="rId1458"/>
    <hyperlink xmlns:r="http://schemas.openxmlformats.org/officeDocument/2006/relationships" ref="V495" r:id="rId1459"/>
    <hyperlink xmlns:r="http://schemas.openxmlformats.org/officeDocument/2006/relationships" ref="W495" r:id="rId1460"/>
    <hyperlink xmlns:r="http://schemas.openxmlformats.org/officeDocument/2006/relationships" ref="X495" r:id="rId1461"/>
    <hyperlink xmlns:r="http://schemas.openxmlformats.org/officeDocument/2006/relationships" ref="V496" r:id="rId1462"/>
    <hyperlink xmlns:r="http://schemas.openxmlformats.org/officeDocument/2006/relationships" ref="W496" r:id="rId1463"/>
    <hyperlink xmlns:r="http://schemas.openxmlformats.org/officeDocument/2006/relationships" ref="X496" r:id="rId1464"/>
    <hyperlink xmlns:r="http://schemas.openxmlformats.org/officeDocument/2006/relationships" ref="V497" r:id="rId1465"/>
    <hyperlink xmlns:r="http://schemas.openxmlformats.org/officeDocument/2006/relationships" ref="W497" r:id="rId1466"/>
    <hyperlink xmlns:r="http://schemas.openxmlformats.org/officeDocument/2006/relationships" ref="X497" r:id="rId1467"/>
    <hyperlink xmlns:r="http://schemas.openxmlformats.org/officeDocument/2006/relationships" ref="V498" r:id="rId1468"/>
    <hyperlink xmlns:r="http://schemas.openxmlformats.org/officeDocument/2006/relationships" ref="W498" r:id="rId1469"/>
    <hyperlink xmlns:r="http://schemas.openxmlformats.org/officeDocument/2006/relationships" ref="X498" r:id="rId1470"/>
    <hyperlink xmlns:r="http://schemas.openxmlformats.org/officeDocument/2006/relationships" ref="V499" r:id="rId1471"/>
    <hyperlink xmlns:r="http://schemas.openxmlformats.org/officeDocument/2006/relationships" ref="W499" r:id="rId1472"/>
    <hyperlink xmlns:r="http://schemas.openxmlformats.org/officeDocument/2006/relationships" ref="X499" r:id="rId1473"/>
    <hyperlink xmlns:r="http://schemas.openxmlformats.org/officeDocument/2006/relationships" ref="V500" r:id="rId1474"/>
    <hyperlink xmlns:r="http://schemas.openxmlformats.org/officeDocument/2006/relationships" ref="W500" r:id="rId1475"/>
    <hyperlink xmlns:r="http://schemas.openxmlformats.org/officeDocument/2006/relationships" ref="X500" r:id="rId1476"/>
    <hyperlink xmlns:r="http://schemas.openxmlformats.org/officeDocument/2006/relationships" ref="V501" r:id="rId1477"/>
    <hyperlink xmlns:r="http://schemas.openxmlformats.org/officeDocument/2006/relationships" ref="W501" r:id="rId1478"/>
    <hyperlink xmlns:r="http://schemas.openxmlformats.org/officeDocument/2006/relationships" ref="X501" r:id="rId1479"/>
    <hyperlink xmlns:r="http://schemas.openxmlformats.org/officeDocument/2006/relationships" ref="V502" r:id="rId1480"/>
    <hyperlink xmlns:r="http://schemas.openxmlformats.org/officeDocument/2006/relationships" ref="W502" r:id="rId1481"/>
    <hyperlink xmlns:r="http://schemas.openxmlformats.org/officeDocument/2006/relationships" ref="X502" r:id="rId1482"/>
    <hyperlink xmlns:r="http://schemas.openxmlformats.org/officeDocument/2006/relationships" ref="V503" r:id="rId1483"/>
    <hyperlink xmlns:r="http://schemas.openxmlformats.org/officeDocument/2006/relationships" ref="W503" r:id="rId1484"/>
    <hyperlink xmlns:r="http://schemas.openxmlformats.org/officeDocument/2006/relationships" ref="X503" r:id="rId1485"/>
    <hyperlink xmlns:r="http://schemas.openxmlformats.org/officeDocument/2006/relationships" ref="V504" r:id="rId1486"/>
    <hyperlink xmlns:r="http://schemas.openxmlformats.org/officeDocument/2006/relationships" ref="W504" r:id="rId1487"/>
    <hyperlink xmlns:r="http://schemas.openxmlformats.org/officeDocument/2006/relationships" ref="X504" r:id="rId1488"/>
    <hyperlink xmlns:r="http://schemas.openxmlformats.org/officeDocument/2006/relationships" ref="V505" r:id="rId1489"/>
    <hyperlink xmlns:r="http://schemas.openxmlformats.org/officeDocument/2006/relationships" ref="W505" r:id="rId1490"/>
    <hyperlink xmlns:r="http://schemas.openxmlformats.org/officeDocument/2006/relationships" ref="X505" r:id="rId1491"/>
    <hyperlink xmlns:r="http://schemas.openxmlformats.org/officeDocument/2006/relationships" ref="V506" r:id="rId1492"/>
    <hyperlink xmlns:r="http://schemas.openxmlformats.org/officeDocument/2006/relationships" ref="W506" r:id="rId1493"/>
    <hyperlink xmlns:r="http://schemas.openxmlformats.org/officeDocument/2006/relationships" ref="X506" r:id="rId1494"/>
    <hyperlink xmlns:r="http://schemas.openxmlformats.org/officeDocument/2006/relationships" ref="V507" r:id="rId1495"/>
    <hyperlink xmlns:r="http://schemas.openxmlformats.org/officeDocument/2006/relationships" ref="W507" r:id="rId1496"/>
    <hyperlink xmlns:r="http://schemas.openxmlformats.org/officeDocument/2006/relationships" ref="X507" r:id="rId1497"/>
    <hyperlink xmlns:r="http://schemas.openxmlformats.org/officeDocument/2006/relationships" ref="V508" r:id="rId1498"/>
    <hyperlink xmlns:r="http://schemas.openxmlformats.org/officeDocument/2006/relationships" ref="W508" r:id="rId1499"/>
    <hyperlink xmlns:r="http://schemas.openxmlformats.org/officeDocument/2006/relationships" ref="X508" r:id="rId1500"/>
    <hyperlink xmlns:r="http://schemas.openxmlformats.org/officeDocument/2006/relationships" ref="V509" r:id="rId1501"/>
    <hyperlink xmlns:r="http://schemas.openxmlformats.org/officeDocument/2006/relationships" ref="W509" r:id="rId1502"/>
    <hyperlink xmlns:r="http://schemas.openxmlformats.org/officeDocument/2006/relationships" ref="X509" r:id="rId1503"/>
    <hyperlink xmlns:r="http://schemas.openxmlformats.org/officeDocument/2006/relationships" ref="V510" r:id="rId1504"/>
    <hyperlink xmlns:r="http://schemas.openxmlformats.org/officeDocument/2006/relationships" ref="W510" r:id="rId1505"/>
    <hyperlink xmlns:r="http://schemas.openxmlformats.org/officeDocument/2006/relationships" ref="X510" r:id="rId1506"/>
    <hyperlink xmlns:r="http://schemas.openxmlformats.org/officeDocument/2006/relationships" ref="V511" r:id="rId1507"/>
    <hyperlink xmlns:r="http://schemas.openxmlformats.org/officeDocument/2006/relationships" ref="W511" r:id="rId1508"/>
    <hyperlink xmlns:r="http://schemas.openxmlformats.org/officeDocument/2006/relationships" ref="X511" r:id="rId1509"/>
    <hyperlink xmlns:r="http://schemas.openxmlformats.org/officeDocument/2006/relationships" ref="V512" r:id="rId1510"/>
    <hyperlink xmlns:r="http://schemas.openxmlformats.org/officeDocument/2006/relationships" ref="W512" r:id="rId1511"/>
    <hyperlink xmlns:r="http://schemas.openxmlformats.org/officeDocument/2006/relationships" ref="X512" r:id="rId1512"/>
    <hyperlink xmlns:r="http://schemas.openxmlformats.org/officeDocument/2006/relationships" ref="V513" r:id="rId1513"/>
    <hyperlink xmlns:r="http://schemas.openxmlformats.org/officeDocument/2006/relationships" ref="W513" r:id="rId1514"/>
    <hyperlink xmlns:r="http://schemas.openxmlformats.org/officeDocument/2006/relationships" ref="X513" r:id="rId1515"/>
    <hyperlink xmlns:r="http://schemas.openxmlformats.org/officeDocument/2006/relationships" ref="V514" r:id="rId1516"/>
    <hyperlink xmlns:r="http://schemas.openxmlformats.org/officeDocument/2006/relationships" ref="W514" r:id="rId1517"/>
    <hyperlink xmlns:r="http://schemas.openxmlformats.org/officeDocument/2006/relationships" ref="X514" r:id="rId1518"/>
    <hyperlink xmlns:r="http://schemas.openxmlformats.org/officeDocument/2006/relationships" ref="V515" r:id="rId1519"/>
    <hyperlink xmlns:r="http://schemas.openxmlformats.org/officeDocument/2006/relationships" ref="W515" r:id="rId1520"/>
    <hyperlink xmlns:r="http://schemas.openxmlformats.org/officeDocument/2006/relationships" ref="X515" r:id="rId1521"/>
    <hyperlink xmlns:r="http://schemas.openxmlformats.org/officeDocument/2006/relationships" ref="V516" r:id="rId1522"/>
    <hyperlink xmlns:r="http://schemas.openxmlformats.org/officeDocument/2006/relationships" ref="W516" r:id="rId1523"/>
    <hyperlink xmlns:r="http://schemas.openxmlformats.org/officeDocument/2006/relationships" ref="X516" r:id="rId1524"/>
    <hyperlink xmlns:r="http://schemas.openxmlformats.org/officeDocument/2006/relationships" ref="V517" r:id="rId1525"/>
    <hyperlink xmlns:r="http://schemas.openxmlformats.org/officeDocument/2006/relationships" ref="W517" r:id="rId1526"/>
    <hyperlink xmlns:r="http://schemas.openxmlformats.org/officeDocument/2006/relationships" ref="X517" r:id="rId1527"/>
    <hyperlink xmlns:r="http://schemas.openxmlformats.org/officeDocument/2006/relationships" ref="V518" r:id="rId1528"/>
    <hyperlink xmlns:r="http://schemas.openxmlformats.org/officeDocument/2006/relationships" ref="W518" r:id="rId1529"/>
    <hyperlink xmlns:r="http://schemas.openxmlformats.org/officeDocument/2006/relationships" ref="X518" r:id="rId1530"/>
    <hyperlink xmlns:r="http://schemas.openxmlformats.org/officeDocument/2006/relationships" ref="V519" r:id="rId1531"/>
    <hyperlink xmlns:r="http://schemas.openxmlformats.org/officeDocument/2006/relationships" ref="W519" r:id="rId1532"/>
    <hyperlink xmlns:r="http://schemas.openxmlformats.org/officeDocument/2006/relationships" ref="X519" r:id="rId1533"/>
    <hyperlink xmlns:r="http://schemas.openxmlformats.org/officeDocument/2006/relationships" ref="V520" r:id="rId1534"/>
    <hyperlink xmlns:r="http://schemas.openxmlformats.org/officeDocument/2006/relationships" ref="W520" r:id="rId1535"/>
    <hyperlink xmlns:r="http://schemas.openxmlformats.org/officeDocument/2006/relationships" ref="X520" r:id="rId1536"/>
    <hyperlink xmlns:r="http://schemas.openxmlformats.org/officeDocument/2006/relationships" ref="V521" r:id="rId1537"/>
    <hyperlink xmlns:r="http://schemas.openxmlformats.org/officeDocument/2006/relationships" ref="W521" r:id="rId1538"/>
    <hyperlink xmlns:r="http://schemas.openxmlformats.org/officeDocument/2006/relationships" ref="X521" r:id="rId1539"/>
    <hyperlink xmlns:r="http://schemas.openxmlformats.org/officeDocument/2006/relationships" ref="V522" r:id="rId1540"/>
    <hyperlink xmlns:r="http://schemas.openxmlformats.org/officeDocument/2006/relationships" ref="W522" r:id="rId1541"/>
    <hyperlink xmlns:r="http://schemas.openxmlformats.org/officeDocument/2006/relationships" ref="X522" r:id="rId1542"/>
    <hyperlink xmlns:r="http://schemas.openxmlformats.org/officeDocument/2006/relationships" ref="V523" r:id="rId1543"/>
    <hyperlink xmlns:r="http://schemas.openxmlformats.org/officeDocument/2006/relationships" ref="W523" r:id="rId1544"/>
    <hyperlink xmlns:r="http://schemas.openxmlformats.org/officeDocument/2006/relationships" ref="X523" r:id="rId1545"/>
    <hyperlink xmlns:r="http://schemas.openxmlformats.org/officeDocument/2006/relationships" ref="V524" r:id="rId1546"/>
    <hyperlink xmlns:r="http://schemas.openxmlformats.org/officeDocument/2006/relationships" ref="W524" r:id="rId1547"/>
    <hyperlink xmlns:r="http://schemas.openxmlformats.org/officeDocument/2006/relationships" ref="X524" r:id="rId1548"/>
    <hyperlink xmlns:r="http://schemas.openxmlformats.org/officeDocument/2006/relationships" ref="V525" r:id="rId1549"/>
    <hyperlink xmlns:r="http://schemas.openxmlformats.org/officeDocument/2006/relationships" ref="W525" r:id="rId1550"/>
    <hyperlink xmlns:r="http://schemas.openxmlformats.org/officeDocument/2006/relationships" ref="X525" r:id="rId1551"/>
    <hyperlink xmlns:r="http://schemas.openxmlformats.org/officeDocument/2006/relationships" ref="V526" r:id="rId1552"/>
    <hyperlink xmlns:r="http://schemas.openxmlformats.org/officeDocument/2006/relationships" ref="W526" r:id="rId1553"/>
    <hyperlink xmlns:r="http://schemas.openxmlformats.org/officeDocument/2006/relationships" ref="X526" r:id="rId1554"/>
    <hyperlink xmlns:r="http://schemas.openxmlformats.org/officeDocument/2006/relationships" ref="V527" r:id="rId1555"/>
    <hyperlink xmlns:r="http://schemas.openxmlformats.org/officeDocument/2006/relationships" ref="W527" r:id="rId1556"/>
    <hyperlink xmlns:r="http://schemas.openxmlformats.org/officeDocument/2006/relationships" ref="X527" r:id="rId1557"/>
    <hyperlink xmlns:r="http://schemas.openxmlformats.org/officeDocument/2006/relationships" ref="V528" r:id="rId1558"/>
    <hyperlink xmlns:r="http://schemas.openxmlformats.org/officeDocument/2006/relationships" ref="W528" r:id="rId1559"/>
    <hyperlink xmlns:r="http://schemas.openxmlformats.org/officeDocument/2006/relationships" ref="X528" r:id="rId1560"/>
    <hyperlink xmlns:r="http://schemas.openxmlformats.org/officeDocument/2006/relationships" ref="V529" r:id="rId1561"/>
    <hyperlink xmlns:r="http://schemas.openxmlformats.org/officeDocument/2006/relationships" ref="W529" r:id="rId1562"/>
    <hyperlink xmlns:r="http://schemas.openxmlformats.org/officeDocument/2006/relationships" ref="X529" r:id="rId1563"/>
    <hyperlink xmlns:r="http://schemas.openxmlformats.org/officeDocument/2006/relationships" ref="V530" r:id="rId1564"/>
    <hyperlink xmlns:r="http://schemas.openxmlformats.org/officeDocument/2006/relationships" ref="W530" r:id="rId1565"/>
    <hyperlink xmlns:r="http://schemas.openxmlformats.org/officeDocument/2006/relationships" ref="X530" r:id="rId1566"/>
    <hyperlink xmlns:r="http://schemas.openxmlformats.org/officeDocument/2006/relationships" ref="V531" r:id="rId1567"/>
    <hyperlink xmlns:r="http://schemas.openxmlformats.org/officeDocument/2006/relationships" ref="W531" r:id="rId1568"/>
    <hyperlink xmlns:r="http://schemas.openxmlformats.org/officeDocument/2006/relationships" ref="X531" r:id="rId1569"/>
    <hyperlink xmlns:r="http://schemas.openxmlformats.org/officeDocument/2006/relationships" ref="V532" r:id="rId1570"/>
    <hyperlink xmlns:r="http://schemas.openxmlformats.org/officeDocument/2006/relationships" ref="W532" r:id="rId1571"/>
    <hyperlink xmlns:r="http://schemas.openxmlformats.org/officeDocument/2006/relationships" ref="X532" r:id="rId1572"/>
    <hyperlink xmlns:r="http://schemas.openxmlformats.org/officeDocument/2006/relationships" ref="V533" r:id="rId1573"/>
    <hyperlink xmlns:r="http://schemas.openxmlformats.org/officeDocument/2006/relationships" ref="W533" r:id="rId1574"/>
    <hyperlink xmlns:r="http://schemas.openxmlformats.org/officeDocument/2006/relationships" ref="X533" r:id="rId1575"/>
    <hyperlink xmlns:r="http://schemas.openxmlformats.org/officeDocument/2006/relationships" ref="V534" r:id="rId1576"/>
    <hyperlink xmlns:r="http://schemas.openxmlformats.org/officeDocument/2006/relationships" ref="V535" r:id="rId1577"/>
    <hyperlink xmlns:r="http://schemas.openxmlformats.org/officeDocument/2006/relationships" ref="W535" r:id="rId1578"/>
    <hyperlink xmlns:r="http://schemas.openxmlformats.org/officeDocument/2006/relationships" ref="X535" r:id="rId1579"/>
    <hyperlink xmlns:r="http://schemas.openxmlformats.org/officeDocument/2006/relationships" ref="V536" r:id="rId1580"/>
    <hyperlink xmlns:r="http://schemas.openxmlformats.org/officeDocument/2006/relationships" ref="W536" r:id="rId1581"/>
    <hyperlink xmlns:r="http://schemas.openxmlformats.org/officeDocument/2006/relationships" ref="X536" r:id="rId1582"/>
    <hyperlink xmlns:r="http://schemas.openxmlformats.org/officeDocument/2006/relationships" ref="V537" r:id="rId1583"/>
    <hyperlink xmlns:r="http://schemas.openxmlformats.org/officeDocument/2006/relationships" ref="W537" r:id="rId1584"/>
    <hyperlink xmlns:r="http://schemas.openxmlformats.org/officeDocument/2006/relationships" ref="X537" r:id="rId1585"/>
    <hyperlink xmlns:r="http://schemas.openxmlformats.org/officeDocument/2006/relationships" ref="V538" r:id="rId1586"/>
    <hyperlink xmlns:r="http://schemas.openxmlformats.org/officeDocument/2006/relationships" ref="W538" r:id="rId1587"/>
    <hyperlink xmlns:r="http://schemas.openxmlformats.org/officeDocument/2006/relationships" ref="X538" r:id="rId1588"/>
    <hyperlink xmlns:r="http://schemas.openxmlformats.org/officeDocument/2006/relationships" ref="V539" r:id="rId1589"/>
    <hyperlink xmlns:r="http://schemas.openxmlformats.org/officeDocument/2006/relationships" ref="W539" r:id="rId1590"/>
    <hyperlink xmlns:r="http://schemas.openxmlformats.org/officeDocument/2006/relationships" ref="X539" r:id="rId1591"/>
    <hyperlink xmlns:r="http://schemas.openxmlformats.org/officeDocument/2006/relationships" ref="V540" r:id="rId1592"/>
    <hyperlink xmlns:r="http://schemas.openxmlformats.org/officeDocument/2006/relationships" ref="W540" r:id="rId1593"/>
    <hyperlink xmlns:r="http://schemas.openxmlformats.org/officeDocument/2006/relationships" ref="X540" r:id="rId1594"/>
    <hyperlink xmlns:r="http://schemas.openxmlformats.org/officeDocument/2006/relationships" ref="V541" r:id="rId1595"/>
    <hyperlink xmlns:r="http://schemas.openxmlformats.org/officeDocument/2006/relationships" ref="W541" r:id="rId1596"/>
    <hyperlink xmlns:r="http://schemas.openxmlformats.org/officeDocument/2006/relationships" ref="X541" r:id="rId1597"/>
    <hyperlink xmlns:r="http://schemas.openxmlformats.org/officeDocument/2006/relationships" ref="V542" r:id="rId1598"/>
    <hyperlink xmlns:r="http://schemas.openxmlformats.org/officeDocument/2006/relationships" ref="W542" r:id="rId1599"/>
    <hyperlink xmlns:r="http://schemas.openxmlformats.org/officeDocument/2006/relationships" ref="X542" r:id="rId1600"/>
    <hyperlink xmlns:r="http://schemas.openxmlformats.org/officeDocument/2006/relationships" ref="V543" r:id="rId1601"/>
    <hyperlink xmlns:r="http://schemas.openxmlformats.org/officeDocument/2006/relationships" ref="W543" r:id="rId1602"/>
    <hyperlink xmlns:r="http://schemas.openxmlformats.org/officeDocument/2006/relationships" ref="X543" r:id="rId1603"/>
    <hyperlink xmlns:r="http://schemas.openxmlformats.org/officeDocument/2006/relationships" ref="V544" r:id="rId1604"/>
    <hyperlink xmlns:r="http://schemas.openxmlformats.org/officeDocument/2006/relationships" ref="W544" r:id="rId1605"/>
    <hyperlink xmlns:r="http://schemas.openxmlformats.org/officeDocument/2006/relationships" ref="X544" r:id="rId1606"/>
    <hyperlink xmlns:r="http://schemas.openxmlformats.org/officeDocument/2006/relationships" ref="V545" r:id="rId1607"/>
    <hyperlink xmlns:r="http://schemas.openxmlformats.org/officeDocument/2006/relationships" ref="W545" r:id="rId1608"/>
    <hyperlink xmlns:r="http://schemas.openxmlformats.org/officeDocument/2006/relationships" ref="X545" r:id="rId1609"/>
    <hyperlink xmlns:r="http://schemas.openxmlformats.org/officeDocument/2006/relationships" ref="V546" r:id="rId1610"/>
    <hyperlink xmlns:r="http://schemas.openxmlformats.org/officeDocument/2006/relationships" ref="W546" r:id="rId1611"/>
    <hyperlink xmlns:r="http://schemas.openxmlformats.org/officeDocument/2006/relationships" ref="X546" r:id="rId1612"/>
    <hyperlink xmlns:r="http://schemas.openxmlformats.org/officeDocument/2006/relationships" ref="V547" r:id="rId1613"/>
    <hyperlink xmlns:r="http://schemas.openxmlformats.org/officeDocument/2006/relationships" ref="W547" r:id="rId1614"/>
    <hyperlink xmlns:r="http://schemas.openxmlformats.org/officeDocument/2006/relationships" ref="X547" r:id="rId1615"/>
    <hyperlink xmlns:r="http://schemas.openxmlformats.org/officeDocument/2006/relationships" ref="V548" r:id="rId1616"/>
    <hyperlink xmlns:r="http://schemas.openxmlformats.org/officeDocument/2006/relationships" ref="W548" r:id="rId1617"/>
    <hyperlink xmlns:r="http://schemas.openxmlformats.org/officeDocument/2006/relationships" ref="X548" r:id="rId1618"/>
    <hyperlink xmlns:r="http://schemas.openxmlformats.org/officeDocument/2006/relationships" ref="V549" r:id="rId1619"/>
    <hyperlink xmlns:r="http://schemas.openxmlformats.org/officeDocument/2006/relationships" ref="W549" r:id="rId1620"/>
    <hyperlink xmlns:r="http://schemas.openxmlformats.org/officeDocument/2006/relationships" ref="X549" r:id="rId1621"/>
    <hyperlink xmlns:r="http://schemas.openxmlformats.org/officeDocument/2006/relationships" ref="V550" r:id="rId1622"/>
    <hyperlink xmlns:r="http://schemas.openxmlformats.org/officeDocument/2006/relationships" ref="W550" r:id="rId1623"/>
    <hyperlink xmlns:r="http://schemas.openxmlformats.org/officeDocument/2006/relationships" ref="X550" r:id="rId1624"/>
    <hyperlink xmlns:r="http://schemas.openxmlformats.org/officeDocument/2006/relationships" ref="V551" r:id="rId1625"/>
    <hyperlink xmlns:r="http://schemas.openxmlformats.org/officeDocument/2006/relationships" ref="W551" r:id="rId1626"/>
    <hyperlink xmlns:r="http://schemas.openxmlformats.org/officeDocument/2006/relationships" ref="X551" r:id="rId1627"/>
    <hyperlink xmlns:r="http://schemas.openxmlformats.org/officeDocument/2006/relationships" ref="V552" r:id="rId1628"/>
    <hyperlink xmlns:r="http://schemas.openxmlformats.org/officeDocument/2006/relationships" ref="W552" r:id="rId1629"/>
    <hyperlink xmlns:r="http://schemas.openxmlformats.org/officeDocument/2006/relationships" ref="X552" r:id="rId1630"/>
    <hyperlink xmlns:r="http://schemas.openxmlformats.org/officeDocument/2006/relationships" ref="V553" r:id="rId1631"/>
    <hyperlink xmlns:r="http://schemas.openxmlformats.org/officeDocument/2006/relationships" ref="W553" r:id="rId1632"/>
    <hyperlink xmlns:r="http://schemas.openxmlformats.org/officeDocument/2006/relationships" ref="X553" r:id="rId1633"/>
    <hyperlink xmlns:r="http://schemas.openxmlformats.org/officeDocument/2006/relationships" ref="V554" r:id="rId1634"/>
    <hyperlink xmlns:r="http://schemas.openxmlformats.org/officeDocument/2006/relationships" ref="W554" r:id="rId1635"/>
    <hyperlink xmlns:r="http://schemas.openxmlformats.org/officeDocument/2006/relationships" ref="X554" r:id="rId1636"/>
    <hyperlink xmlns:r="http://schemas.openxmlformats.org/officeDocument/2006/relationships" ref="V555" r:id="rId1637"/>
    <hyperlink xmlns:r="http://schemas.openxmlformats.org/officeDocument/2006/relationships" ref="W555" r:id="rId1638"/>
    <hyperlink xmlns:r="http://schemas.openxmlformats.org/officeDocument/2006/relationships" ref="X555" r:id="rId1639"/>
    <hyperlink xmlns:r="http://schemas.openxmlformats.org/officeDocument/2006/relationships" ref="V556" r:id="rId1640"/>
    <hyperlink xmlns:r="http://schemas.openxmlformats.org/officeDocument/2006/relationships" ref="W556" r:id="rId1641"/>
    <hyperlink xmlns:r="http://schemas.openxmlformats.org/officeDocument/2006/relationships" ref="X556" r:id="rId1642"/>
    <hyperlink xmlns:r="http://schemas.openxmlformats.org/officeDocument/2006/relationships" ref="V557" r:id="rId1643"/>
    <hyperlink xmlns:r="http://schemas.openxmlformats.org/officeDocument/2006/relationships" ref="W557" r:id="rId1644"/>
    <hyperlink xmlns:r="http://schemas.openxmlformats.org/officeDocument/2006/relationships" ref="X557" r:id="rId1645"/>
    <hyperlink xmlns:r="http://schemas.openxmlformats.org/officeDocument/2006/relationships" ref="V558" r:id="rId1646"/>
    <hyperlink xmlns:r="http://schemas.openxmlformats.org/officeDocument/2006/relationships" ref="W558" r:id="rId1647"/>
    <hyperlink xmlns:r="http://schemas.openxmlformats.org/officeDocument/2006/relationships" ref="X558" r:id="rId1648"/>
    <hyperlink xmlns:r="http://schemas.openxmlformats.org/officeDocument/2006/relationships" ref="V559" r:id="rId1649"/>
    <hyperlink xmlns:r="http://schemas.openxmlformats.org/officeDocument/2006/relationships" ref="W559" r:id="rId1650"/>
    <hyperlink xmlns:r="http://schemas.openxmlformats.org/officeDocument/2006/relationships" ref="X559" r:id="rId1651"/>
    <hyperlink xmlns:r="http://schemas.openxmlformats.org/officeDocument/2006/relationships" ref="V560" r:id="rId1652"/>
    <hyperlink xmlns:r="http://schemas.openxmlformats.org/officeDocument/2006/relationships" ref="W560" r:id="rId1653"/>
    <hyperlink xmlns:r="http://schemas.openxmlformats.org/officeDocument/2006/relationships" ref="X560" r:id="rId1654"/>
    <hyperlink xmlns:r="http://schemas.openxmlformats.org/officeDocument/2006/relationships" ref="V561" r:id="rId1655"/>
    <hyperlink xmlns:r="http://schemas.openxmlformats.org/officeDocument/2006/relationships" ref="W561" r:id="rId1656"/>
    <hyperlink xmlns:r="http://schemas.openxmlformats.org/officeDocument/2006/relationships" ref="X561" r:id="rId1657"/>
    <hyperlink xmlns:r="http://schemas.openxmlformats.org/officeDocument/2006/relationships" ref="V562" r:id="rId1658"/>
    <hyperlink xmlns:r="http://schemas.openxmlformats.org/officeDocument/2006/relationships" ref="W562" r:id="rId1659"/>
    <hyperlink xmlns:r="http://schemas.openxmlformats.org/officeDocument/2006/relationships" ref="X562" r:id="rId1660"/>
    <hyperlink xmlns:r="http://schemas.openxmlformats.org/officeDocument/2006/relationships" ref="V563" r:id="rId1661"/>
    <hyperlink xmlns:r="http://schemas.openxmlformats.org/officeDocument/2006/relationships" ref="W563" r:id="rId1662"/>
    <hyperlink xmlns:r="http://schemas.openxmlformats.org/officeDocument/2006/relationships" ref="X563" r:id="rId1663"/>
    <hyperlink xmlns:r="http://schemas.openxmlformats.org/officeDocument/2006/relationships" ref="V564" r:id="rId1664"/>
    <hyperlink xmlns:r="http://schemas.openxmlformats.org/officeDocument/2006/relationships" ref="W564" r:id="rId1665"/>
    <hyperlink xmlns:r="http://schemas.openxmlformats.org/officeDocument/2006/relationships" ref="X564" r:id="rId1666"/>
    <hyperlink xmlns:r="http://schemas.openxmlformats.org/officeDocument/2006/relationships" ref="V565" r:id="rId1667"/>
    <hyperlink xmlns:r="http://schemas.openxmlformats.org/officeDocument/2006/relationships" ref="W565" r:id="rId1668"/>
    <hyperlink xmlns:r="http://schemas.openxmlformats.org/officeDocument/2006/relationships" ref="X565" r:id="rId1669"/>
    <hyperlink xmlns:r="http://schemas.openxmlformats.org/officeDocument/2006/relationships" ref="V566" r:id="rId1670"/>
    <hyperlink xmlns:r="http://schemas.openxmlformats.org/officeDocument/2006/relationships" ref="W566" r:id="rId1671"/>
    <hyperlink xmlns:r="http://schemas.openxmlformats.org/officeDocument/2006/relationships" ref="X566" r:id="rId1672"/>
    <hyperlink xmlns:r="http://schemas.openxmlformats.org/officeDocument/2006/relationships" ref="V567" r:id="rId1673"/>
    <hyperlink xmlns:r="http://schemas.openxmlformats.org/officeDocument/2006/relationships" ref="W567" r:id="rId1674"/>
    <hyperlink xmlns:r="http://schemas.openxmlformats.org/officeDocument/2006/relationships" ref="X567" r:id="rId1675"/>
    <hyperlink xmlns:r="http://schemas.openxmlformats.org/officeDocument/2006/relationships" ref="V568" r:id="rId1676"/>
    <hyperlink xmlns:r="http://schemas.openxmlformats.org/officeDocument/2006/relationships" ref="W568" r:id="rId1677"/>
    <hyperlink xmlns:r="http://schemas.openxmlformats.org/officeDocument/2006/relationships" ref="X568" r:id="rId1678"/>
    <hyperlink xmlns:r="http://schemas.openxmlformats.org/officeDocument/2006/relationships" ref="V569" r:id="rId1679"/>
    <hyperlink xmlns:r="http://schemas.openxmlformats.org/officeDocument/2006/relationships" ref="W569" r:id="rId1680"/>
    <hyperlink xmlns:r="http://schemas.openxmlformats.org/officeDocument/2006/relationships" ref="X569" r:id="rId1681"/>
    <hyperlink xmlns:r="http://schemas.openxmlformats.org/officeDocument/2006/relationships" ref="V570" r:id="rId1682"/>
    <hyperlink xmlns:r="http://schemas.openxmlformats.org/officeDocument/2006/relationships" ref="W570" r:id="rId1683"/>
    <hyperlink xmlns:r="http://schemas.openxmlformats.org/officeDocument/2006/relationships" ref="X570" r:id="rId1684"/>
    <hyperlink xmlns:r="http://schemas.openxmlformats.org/officeDocument/2006/relationships" ref="V571" r:id="rId1685"/>
    <hyperlink xmlns:r="http://schemas.openxmlformats.org/officeDocument/2006/relationships" ref="W571" r:id="rId1686"/>
    <hyperlink xmlns:r="http://schemas.openxmlformats.org/officeDocument/2006/relationships" ref="X571" r:id="rId1687"/>
    <hyperlink xmlns:r="http://schemas.openxmlformats.org/officeDocument/2006/relationships" ref="V572" r:id="rId1688"/>
    <hyperlink xmlns:r="http://schemas.openxmlformats.org/officeDocument/2006/relationships" ref="W572" r:id="rId1689"/>
    <hyperlink xmlns:r="http://schemas.openxmlformats.org/officeDocument/2006/relationships" ref="X572" r:id="rId1690"/>
    <hyperlink xmlns:r="http://schemas.openxmlformats.org/officeDocument/2006/relationships" ref="V573" r:id="rId1691"/>
    <hyperlink xmlns:r="http://schemas.openxmlformats.org/officeDocument/2006/relationships" ref="W573" r:id="rId1692"/>
    <hyperlink xmlns:r="http://schemas.openxmlformats.org/officeDocument/2006/relationships" ref="X573" r:id="rId1693"/>
    <hyperlink xmlns:r="http://schemas.openxmlformats.org/officeDocument/2006/relationships" ref="V574" r:id="rId1694"/>
    <hyperlink xmlns:r="http://schemas.openxmlformats.org/officeDocument/2006/relationships" ref="W574" r:id="rId1695"/>
    <hyperlink xmlns:r="http://schemas.openxmlformats.org/officeDocument/2006/relationships" ref="X574" r:id="rId1696"/>
    <hyperlink xmlns:r="http://schemas.openxmlformats.org/officeDocument/2006/relationships" ref="V575" r:id="rId1697"/>
    <hyperlink xmlns:r="http://schemas.openxmlformats.org/officeDocument/2006/relationships" ref="W575" r:id="rId1698"/>
    <hyperlink xmlns:r="http://schemas.openxmlformats.org/officeDocument/2006/relationships" ref="X575" r:id="rId1699"/>
    <hyperlink xmlns:r="http://schemas.openxmlformats.org/officeDocument/2006/relationships" ref="V576" r:id="rId1700"/>
    <hyperlink xmlns:r="http://schemas.openxmlformats.org/officeDocument/2006/relationships" ref="W576" r:id="rId1701"/>
    <hyperlink xmlns:r="http://schemas.openxmlformats.org/officeDocument/2006/relationships" ref="X576" r:id="rId1702"/>
    <hyperlink xmlns:r="http://schemas.openxmlformats.org/officeDocument/2006/relationships" ref="V577" r:id="rId1703"/>
    <hyperlink xmlns:r="http://schemas.openxmlformats.org/officeDocument/2006/relationships" ref="W577" r:id="rId1704"/>
    <hyperlink xmlns:r="http://schemas.openxmlformats.org/officeDocument/2006/relationships" ref="X577" r:id="rId1705"/>
    <hyperlink xmlns:r="http://schemas.openxmlformats.org/officeDocument/2006/relationships" ref="V578" r:id="rId1706"/>
    <hyperlink xmlns:r="http://schemas.openxmlformats.org/officeDocument/2006/relationships" ref="W578" r:id="rId1707"/>
    <hyperlink xmlns:r="http://schemas.openxmlformats.org/officeDocument/2006/relationships" ref="X578" r:id="rId1708"/>
    <hyperlink xmlns:r="http://schemas.openxmlformats.org/officeDocument/2006/relationships" ref="V579" r:id="rId1709"/>
    <hyperlink xmlns:r="http://schemas.openxmlformats.org/officeDocument/2006/relationships" ref="W579" r:id="rId1710"/>
    <hyperlink xmlns:r="http://schemas.openxmlformats.org/officeDocument/2006/relationships" ref="X579" r:id="rId1711"/>
    <hyperlink xmlns:r="http://schemas.openxmlformats.org/officeDocument/2006/relationships" ref="V580" r:id="rId1712"/>
    <hyperlink xmlns:r="http://schemas.openxmlformats.org/officeDocument/2006/relationships" ref="W580" r:id="rId1713"/>
    <hyperlink xmlns:r="http://schemas.openxmlformats.org/officeDocument/2006/relationships" ref="X580" r:id="rId1714"/>
    <hyperlink xmlns:r="http://schemas.openxmlformats.org/officeDocument/2006/relationships" ref="V581" r:id="rId1715"/>
    <hyperlink xmlns:r="http://schemas.openxmlformats.org/officeDocument/2006/relationships" ref="W581" r:id="rId1716"/>
    <hyperlink xmlns:r="http://schemas.openxmlformats.org/officeDocument/2006/relationships" ref="X581" r:id="rId1717"/>
    <hyperlink xmlns:r="http://schemas.openxmlformats.org/officeDocument/2006/relationships" ref="V582" r:id="rId1718"/>
    <hyperlink xmlns:r="http://schemas.openxmlformats.org/officeDocument/2006/relationships" ref="W582" r:id="rId1719"/>
    <hyperlink xmlns:r="http://schemas.openxmlformats.org/officeDocument/2006/relationships" ref="X582" r:id="rId1720"/>
    <hyperlink xmlns:r="http://schemas.openxmlformats.org/officeDocument/2006/relationships" ref="V583" r:id="rId1721"/>
    <hyperlink xmlns:r="http://schemas.openxmlformats.org/officeDocument/2006/relationships" ref="W583" r:id="rId1722"/>
    <hyperlink xmlns:r="http://schemas.openxmlformats.org/officeDocument/2006/relationships" ref="X583" r:id="rId1723"/>
    <hyperlink xmlns:r="http://schemas.openxmlformats.org/officeDocument/2006/relationships" ref="V584" r:id="rId1724"/>
    <hyperlink xmlns:r="http://schemas.openxmlformats.org/officeDocument/2006/relationships" ref="W584" r:id="rId1725"/>
    <hyperlink xmlns:r="http://schemas.openxmlformats.org/officeDocument/2006/relationships" ref="X584" r:id="rId1726"/>
    <hyperlink xmlns:r="http://schemas.openxmlformats.org/officeDocument/2006/relationships" ref="V585" r:id="rId1727"/>
    <hyperlink xmlns:r="http://schemas.openxmlformats.org/officeDocument/2006/relationships" ref="W585" r:id="rId1728"/>
    <hyperlink xmlns:r="http://schemas.openxmlformats.org/officeDocument/2006/relationships" ref="X585" r:id="rId1729"/>
    <hyperlink xmlns:r="http://schemas.openxmlformats.org/officeDocument/2006/relationships" ref="V586" r:id="rId1730"/>
    <hyperlink xmlns:r="http://schemas.openxmlformats.org/officeDocument/2006/relationships" ref="W586" r:id="rId1731"/>
    <hyperlink xmlns:r="http://schemas.openxmlformats.org/officeDocument/2006/relationships" ref="X586" r:id="rId1732"/>
    <hyperlink xmlns:r="http://schemas.openxmlformats.org/officeDocument/2006/relationships" ref="V587" r:id="rId1733"/>
    <hyperlink xmlns:r="http://schemas.openxmlformats.org/officeDocument/2006/relationships" ref="W587" r:id="rId1734"/>
    <hyperlink xmlns:r="http://schemas.openxmlformats.org/officeDocument/2006/relationships" ref="X587" r:id="rId1735"/>
    <hyperlink xmlns:r="http://schemas.openxmlformats.org/officeDocument/2006/relationships" ref="V588" r:id="rId1736"/>
    <hyperlink xmlns:r="http://schemas.openxmlformats.org/officeDocument/2006/relationships" ref="W588" r:id="rId1737"/>
    <hyperlink xmlns:r="http://schemas.openxmlformats.org/officeDocument/2006/relationships" ref="X588" r:id="rId1738"/>
    <hyperlink xmlns:r="http://schemas.openxmlformats.org/officeDocument/2006/relationships" ref="V589" r:id="rId1739"/>
    <hyperlink xmlns:r="http://schemas.openxmlformats.org/officeDocument/2006/relationships" ref="W589" r:id="rId1740"/>
    <hyperlink xmlns:r="http://schemas.openxmlformats.org/officeDocument/2006/relationships" ref="X589" r:id="rId1741"/>
    <hyperlink xmlns:r="http://schemas.openxmlformats.org/officeDocument/2006/relationships" ref="V590" r:id="rId1742"/>
    <hyperlink xmlns:r="http://schemas.openxmlformats.org/officeDocument/2006/relationships" ref="W590" r:id="rId1743"/>
    <hyperlink xmlns:r="http://schemas.openxmlformats.org/officeDocument/2006/relationships" ref="X590" r:id="rId1744"/>
    <hyperlink xmlns:r="http://schemas.openxmlformats.org/officeDocument/2006/relationships" ref="V591" r:id="rId1745"/>
    <hyperlink xmlns:r="http://schemas.openxmlformats.org/officeDocument/2006/relationships" ref="W591" r:id="rId1746"/>
    <hyperlink xmlns:r="http://schemas.openxmlformats.org/officeDocument/2006/relationships" ref="X591" r:id="rId1747"/>
    <hyperlink xmlns:r="http://schemas.openxmlformats.org/officeDocument/2006/relationships" ref="V592" r:id="rId1748"/>
    <hyperlink xmlns:r="http://schemas.openxmlformats.org/officeDocument/2006/relationships" ref="W592" r:id="rId1749"/>
    <hyperlink xmlns:r="http://schemas.openxmlformats.org/officeDocument/2006/relationships" ref="X592" r:id="rId1750"/>
    <hyperlink xmlns:r="http://schemas.openxmlformats.org/officeDocument/2006/relationships" ref="V593" r:id="rId1751"/>
    <hyperlink xmlns:r="http://schemas.openxmlformats.org/officeDocument/2006/relationships" ref="W593" r:id="rId1752"/>
    <hyperlink xmlns:r="http://schemas.openxmlformats.org/officeDocument/2006/relationships" ref="X593" r:id="rId1753"/>
    <hyperlink xmlns:r="http://schemas.openxmlformats.org/officeDocument/2006/relationships" ref="V594" r:id="rId1754"/>
    <hyperlink xmlns:r="http://schemas.openxmlformats.org/officeDocument/2006/relationships" ref="W594" r:id="rId1755"/>
    <hyperlink xmlns:r="http://schemas.openxmlformats.org/officeDocument/2006/relationships" ref="X594" r:id="rId1756"/>
    <hyperlink xmlns:r="http://schemas.openxmlformats.org/officeDocument/2006/relationships" ref="V595" r:id="rId1757"/>
    <hyperlink xmlns:r="http://schemas.openxmlformats.org/officeDocument/2006/relationships" ref="W595" r:id="rId1758"/>
    <hyperlink xmlns:r="http://schemas.openxmlformats.org/officeDocument/2006/relationships" ref="X595" r:id="rId1759"/>
    <hyperlink xmlns:r="http://schemas.openxmlformats.org/officeDocument/2006/relationships" ref="V596" r:id="rId1760"/>
    <hyperlink xmlns:r="http://schemas.openxmlformats.org/officeDocument/2006/relationships" ref="W596" r:id="rId1761"/>
    <hyperlink xmlns:r="http://schemas.openxmlformats.org/officeDocument/2006/relationships" ref="X596" r:id="rId1762"/>
    <hyperlink xmlns:r="http://schemas.openxmlformats.org/officeDocument/2006/relationships" ref="V597" r:id="rId1763"/>
    <hyperlink xmlns:r="http://schemas.openxmlformats.org/officeDocument/2006/relationships" ref="W597" r:id="rId1764"/>
    <hyperlink xmlns:r="http://schemas.openxmlformats.org/officeDocument/2006/relationships" ref="X597" r:id="rId1765"/>
    <hyperlink xmlns:r="http://schemas.openxmlformats.org/officeDocument/2006/relationships" ref="V598" r:id="rId1766"/>
    <hyperlink xmlns:r="http://schemas.openxmlformats.org/officeDocument/2006/relationships" ref="W598" r:id="rId1767"/>
    <hyperlink xmlns:r="http://schemas.openxmlformats.org/officeDocument/2006/relationships" ref="X598" r:id="rId1768"/>
    <hyperlink xmlns:r="http://schemas.openxmlformats.org/officeDocument/2006/relationships" ref="V599" r:id="rId1769"/>
    <hyperlink xmlns:r="http://schemas.openxmlformats.org/officeDocument/2006/relationships" ref="W599" r:id="rId1770"/>
    <hyperlink xmlns:r="http://schemas.openxmlformats.org/officeDocument/2006/relationships" ref="X599" r:id="rId1771"/>
    <hyperlink xmlns:r="http://schemas.openxmlformats.org/officeDocument/2006/relationships" ref="V600" r:id="rId1772"/>
    <hyperlink xmlns:r="http://schemas.openxmlformats.org/officeDocument/2006/relationships" ref="W600" r:id="rId1773"/>
    <hyperlink xmlns:r="http://schemas.openxmlformats.org/officeDocument/2006/relationships" ref="X600" r:id="rId1774"/>
    <hyperlink xmlns:r="http://schemas.openxmlformats.org/officeDocument/2006/relationships" ref="V601" r:id="rId1775"/>
    <hyperlink xmlns:r="http://schemas.openxmlformats.org/officeDocument/2006/relationships" ref="W601" r:id="rId1776"/>
    <hyperlink xmlns:r="http://schemas.openxmlformats.org/officeDocument/2006/relationships" ref="X601" r:id="rId1777"/>
    <hyperlink xmlns:r="http://schemas.openxmlformats.org/officeDocument/2006/relationships" ref="V602" r:id="rId1778"/>
    <hyperlink xmlns:r="http://schemas.openxmlformats.org/officeDocument/2006/relationships" ref="W602" r:id="rId1779"/>
    <hyperlink xmlns:r="http://schemas.openxmlformats.org/officeDocument/2006/relationships" ref="X602" r:id="rId1780"/>
    <hyperlink xmlns:r="http://schemas.openxmlformats.org/officeDocument/2006/relationships" ref="V603" r:id="rId1781"/>
    <hyperlink xmlns:r="http://schemas.openxmlformats.org/officeDocument/2006/relationships" ref="W603" r:id="rId1782"/>
    <hyperlink xmlns:r="http://schemas.openxmlformats.org/officeDocument/2006/relationships" ref="X603" r:id="rId1783"/>
    <hyperlink xmlns:r="http://schemas.openxmlformats.org/officeDocument/2006/relationships" ref="V604" r:id="rId1784"/>
    <hyperlink xmlns:r="http://schemas.openxmlformats.org/officeDocument/2006/relationships" ref="W604" r:id="rId1785"/>
    <hyperlink xmlns:r="http://schemas.openxmlformats.org/officeDocument/2006/relationships" ref="X604" r:id="rId1786"/>
    <hyperlink xmlns:r="http://schemas.openxmlformats.org/officeDocument/2006/relationships" ref="V605" r:id="rId1787"/>
    <hyperlink xmlns:r="http://schemas.openxmlformats.org/officeDocument/2006/relationships" ref="W605" r:id="rId1788"/>
    <hyperlink xmlns:r="http://schemas.openxmlformats.org/officeDocument/2006/relationships" ref="X605" r:id="rId1789"/>
    <hyperlink xmlns:r="http://schemas.openxmlformats.org/officeDocument/2006/relationships" ref="V606" r:id="rId1790"/>
    <hyperlink xmlns:r="http://schemas.openxmlformats.org/officeDocument/2006/relationships" ref="W606" r:id="rId1791"/>
    <hyperlink xmlns:r="http://schemas.openxmlformats.org/officeDocument/2006/relationships" ref="X606" r:id="rId1792"/>
    <hyperlink xmlns:r="http://schemas.openxmlformats.org/officeDocument/2006/relationships" ref="V607" r:id="rId1793"/>
    <hyperlink xmlns:r="http://schemas.openxmlformats.org/officeDocument/2006/relationships" ref="W607" r:id="rId1794"/>
    <hyperlink xmlns:r="http://schemas.openxmlformats.org/officeDocument/2006/relationships" ref="X607" r:id="rId1795"/>
    <hyperlink xmlns:r="http://schemas.openxmlformats.org/officeDocument/2006/relationships" ref="V608" r:id="rId1796"/>
    <hyperlink xmlns:r="http://schemas.openxmlformats.org/officeDocument/2006/relationships" ref="W608" r:id="rId1797"/>
    <hyperlink xmlns:r="http://schemas.openxmlformats.org/officeDocument/2006/relationships" ref="X608" r:id="rId1798"/>
    <hyperlink xmlns:r="http://schemas.openxmlformats.org/officeDocument/2006/relationships" ref="V609" r:id="rId1799"/>
    <hyperlink xmlns:r="http://schemas.openxmlformats.org/officeDocument/2006/relationships" ref="W609" r:id="rId1800"/>
    <hyperlink xmlns:r="http://schemas.openxmlformats.org/officeDocument/2006/relationships" ref="X609" r:id="rId1801"/>
    <hyperlink xmlns:r="http://schemas.openxmlformats.org/officeDocument/2006/relationships" ref="V610" r:id="rId1802"/>
    <hyperlink xmlns:r="http://schemas.openxmlformats.org/officeDocument/2006/relationships" ref="W610" r:id="rId1803"/>
    <hyperlink xmlns:r="http://schemas.openxmlformats.org/officeDocument/2006/relationships" ref="X610" r:id="rId1804"/>
    <hyperlink xmlns:r="http://schemas.openxmlformats.org/officeDocument/2006/relationships" ref="V611" r:id="rId1805"/>
    <hyperlink xmlns:r="http://schemas.openxmlformats.org/officeDocument/2006/relationships" ref="W611" r:id="rId1806"/>
    <hyperlink xmlns:r="http://schemas.openxmlformats.org/officeDocument/2006/relationships" ref="X611" r:id="rId1807"/>
    <hyperlink xmlns:r="http://schemas.openxmlformats.org/officeDocument/2006/relationships" ref="V612" r:id="rId1808"/>
    <hyperlink xmlns:r="http://schemas.openxmlformats.org/officeDocument/2006/relationships" ref="W612" r:id="rId1809"/>
    <hyperlink xmlns:r="http://schemas.openxmlformats.org/officeDocument/2006/relationships" ref="X612" r:id="rId1810"/>
    <hyperlink xmlns:r="http://schemas.openxmlformats.org/officeDocument/2006/relationships" ref="V613" r:id="rId1811"/>
    <hyperlink xmlns:r="http://schemas.openxmlformats.org/officeDocument/2006/relationships" ref="W613" r:id="rId1812"/>
    <hyperlink xmlns:r="http://schemas.openxmlformats.org/officeDocument/2006/relationships" ref="X613" r:id="rId1813"/>
    <hyperlink xmlns:r="http://schemas.openxmlformats.org/officeDocument/2006/relationships" ref="V614" r:id="rId1814"/>
    <hyperlink xmlns:r="http://schemas.openxmlformats.org/officeDocument/2006/relationships" ref="W614" r:id="rId1815"/>
    <hyperlink xmlns:r="http://schemas.openxmlformats.org/officeDocument/2006/relationships" ref="X614" r:id="rId1816"/>
    <hyperlink xmlns:r="http://schemas.openxmlformats.org/officeDocument/2006/relationships" ref="V615" r:id="rId1817"/>
    <hyperlink xmlns:r="http://schemas.openxmlformats.org/officeDocument/2006/relationships" ref="W615" r:id="rId1818"/>
    <hyperlink xmlns:r="http://schemas.openxmlformats.org/officeDocument/2006/relationships" ref="X615" r:id="rId1819"/>
    <hyperlink xmlns:r="http://schemas.openxmlformats.org/officeDocument/2006/relationships" ref="V616" r:id="rId1820"/>
    <hyperlink xmlns:r="http://schemas.openxmlformats.org/officeDocument/2006/relationships" ref="W616" r:id="rId1821"/>
    <hyperlink xmlns:r="http://schemas.openxmlformats.org/officeDocument/2006/relationships" ref="X616" r:id="rId1822"/>
    <hyperlink xmlns:r="http://schemas.openxmlformats.org/officeDocument/2006/relationships" ref="V617" r:id="rId1823"/>
    <hyperlink xmlns:r="http://schemas.openxmlformats.org/officeDocument/2006/relationships" ref="W617" r:id="rId1824"/>
    <hyperlink xmlns:r="http://schemas.openxmlformats.org/officeDocument/2006/relationships" ref="X617" r:id="rId1825"/>
    <hyperlink xmlns:r="http://schemas.openxmlformats.org/officeDocument/2006/relationships" ref="V618" r:id="rId1826"/>
    <hyperlink xmlns:r="http://schemas.openxmlformats.org/officeDocument/2006/relationships" ref="W618" r:id="rId1827"/>
    <hyperlink xmlns:r="http://schemas.openxmlformats.org/officeDocument/2006/relationships" ref="X618" r:id="rId1828"/>
    <hyperlink xmlns:r="http://schemas.openxmlformats.org/officeDocument/2006/relationships" ref="V619" r:id="rId1829"/>
    <hyperlink xmlns:r="http://schemas.openxmlformats.org/officeDocument/2006/relationships" ref="W619" r:id="rId1830"/>
    <hyperlink xmlns:r="http://schemas.openxmlformats.org/officeDocument/2006/relationships" ref="X619" r:id="rId1831"/>
    <hyperlink xmlns:r="http://schemas.openxmlformats.org/officeDocument/2006/relationships" ref="V620" r:id="rId1832"/>
    <hyperlink xmlns:r="http://schemas.openxmlformats.org/officeDocument/2006/relationships" ref="W620" r:id="rId1833"/>
    <hyperlink xmlns:r="http://schemas.openxmlformats.org/officeDocument/2006/relationships" ref="X620" r:id="rId1834"/>
    <hyperlink xmlns:r="http://schemas.openxmlformats.org/officeDocument/2006/relationships" ref="V621" r:id="rId1835"/>
    <hyperlink xmlns:r="http://schemas.openxmlformats.org/officeDocument/2006/relationships" ref="W621" r:id="rId1836"/>
    <hyperlink xmlns:r="http://schemas.openxmlformats.org/officeDocument/2006/relationships" ref="X621" r:id="rId1837"/>
    <hyperlink xmlns:r="http://schemas.openxmlformats.org/officeDocument/2006/relationships" ref="V622" r:id="rId1838"/>
    <hyperlink xmlns:r="http://schemas.openxmlformats.org/officeDocument/2006/relationships" ref="W622" r:id="rId1839"/>
    <hyperlink xmlns:r="http://schemas.openxmlformats.org/officeDocument/2006/relationships" ref="X622" r:id="rId1840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84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12" customWidth="1" min="4" max="4"/>
    <col width="16" customWidth="1" min="5" max="5"/>
    <col width="11" customWidth="1" min="6" max="6"/>
    <col width="7" customWidth="1" min="7" max="7"/>
    <col width="50" customWidth="1" min="8" max="8"/>
  </cols>
  <sheetData>
    <row r="1" ht="22" customHeight="1">
      <c r="A1" s="3" t="inlineStr">
        <is>
          <t>ID</t>
        </is>
      </c>
      <c r="B1" s="3" t="inlineStr">
        <is>
          <t>Título</t>
        </is>
      </c>
      <c r="C1" s="3" t="inlineStr">
        <is>
          <t>Años</t>
        </is>
      </c>
      <c r="D1" s="3" t="inlineStr">
        <is>
          <t>Tipo</t>
        </is>
      </c>
      <c r="E1" s="3" t="inlineStr">
        <is>
          <t>País</t>
        </is>
      </c>
      <c r="F1" s="3" t="inlineStr">
        <is>
          <t>Animación</t>
        </is>
      </c>
      <c r="G1" s="3" t="inlineStr">
        <is>
          <t>Nota</t>
        </is>
      </c>
      <c r="H1" s="3" t="inlineStr">
        <is>
          <t>Reseña</t>
        </is>
      </c>
    </row>
    <row r="2">
      <c r="A2" t="inlineStr">
        <is>
          <t>s0001</t>
        </is>
      </c>
      <c r="B2" t="inlineStr">
        <is>
          <t>El último baile</t>
        </is>
      </c>
      <c r="C2" t="inlineStr">
        <is>
          <t>2020</t>
        </is>
      </c>
      <c r="D2" t="inlineStr">
        <is>
          <t>Documental</t>
        </is>
      </c>
      <c r="E2" t="inlineStr">
        <is>
          <t>Estados Unidos</t>
        </is>
      </c>
      <c r="F2" t="inlineStr"/>
      <c r="G2" s="5" t="n">
        <v>9.5</v>
      </c>
    </row>
    <row r="3">
      <c r="A3" t="inlineStr">
        <is>
          <t>s0002</t>
        </is>
      </c>
      <c r="B3" t="inlineStr">
        <is>
          <t>Citizenfour</t>
        </is>
      </c>
      <c r="C3" t="inlineStr">
        <is>
          <t>2014</t>
        </is>
      </c>
      <c r="D3" t="inlineStr">
        <is>
          <t>Documental</t>
        </is>
      </c>
      <c r="E3" t="inlineStr">
        <is>
          <t>Estados Unidos</t>
        </is>
      </c>
      <c r="F3" t="inlineStr"/>
      <c r="G3" s="5" t="n">
        <v>8.699999999999999</v>
      </c>
    </row>
    <row r="4">
      <c r="A4" t="inlineStr">
        <is>
          <t>s0003</t>
        </is>
      </c>
      <c r="B4" t="inlineStr">
        <is>
          <t>El caso Alcàsser</t>
        </is>
      </c>
      <c r="C4" t="inlineStr">
        <is>
          <t>2019</t>
        </is>
      </c>
      <c r="D4" t="inlineStr">
        <is>
          <t>Documental</t>
        </is>
      </c>
      <c r="E4" t="inlineStr">
        <is>
          <t>España</t>
        </is>
      </c>
      <c r="F4" t="inlineStr"/>
      <c r="G4" s="5" t="n">
        <v>8.4</v>
      </c>
    </row>
    <row r="5">
      <c r="A5" t="inlineStr">
        <is>
          <t>s0004</t>
        </is>
      </c>
      <c r="B5" t="inlineStr">
        <is>
          <t>¿Dónde está Marta?</t>
        </is>
      </c>
      <c r="C5" t="inlineStr">
        <is>
          <t>2021</t>
        </is>
      </c>
      <c r="D5" t="inlineStr">
        <is>
          <t>Documental</t>
        </is>
      </c>
      <c r="E5" t="inlineStr">
        <is>
          <t>España</t>
        </is>
      </c>
      <c r="F5" t="inlineStr"/>
      <c r="G5" s="5" t="n">
        <v>8.300000000000001</v>
      </c>
    </row>
    <row r="6">
      <c r="A6" t="inlineStr">
        <is>
          <t>s0005</t>
        </is>
      </c>
      <c r="B6" t="inlineStr">
        <is>
          <t>13 de noviembre: Atentados en París</t>
        </is>
      </c>
      <c r="C6" t="inlineStr">
        <is>
          <t>2018</t>
        </is>
      </c>
      <c r="D6" t="inlineStr">
        <is>
          <t>Documental</t>
        </is>
      </c>
      <c r="E6" t="inlineStr">
        <is>
          <t>Francia</t>
        </is>
      </c>
      <c r="F6" t="inlineStr"/>
      <c r="G6" s="5" t="n">
        <v>8.1</v>
      </c>
    </row>
    <row r="7">
      <c r="A7" t="inlineStr">
        <is>
          <t>s0006</t>
        </is>
      </c>
      <c r="B7" t="inlineStr">
        <is>
          <t>800 metros</t>
        </is>
      </c>
      <c r="C7" t="inlineStr">
        <is>
          <t>2022</t>
        </is>
      </c>
      <c r="D7" t="inlineStr">
        <is>
          <t>Documental</t>
        </is>
      </c>
      <c r="E7" t="inlineStr">
        <is>
          <t>España</t>
        </is>
      </c>
      <c r="F7" t="inlineStr"/>
      <c r="G7" s="5" t="n">
        <v>8</v>
      </c>
    </row>
    <row r="8">
      <c r="A8" t="inlineStr">
        <is>
          <t>s0007</t>
        </is>
      </c>
      <c r="B8" t="inlineStr">
        <is>
          <t>Cómo cazar a un monstruo</t>
        </is>
      </c>
      <c r="C8" t="inlineStr">
        <is>
          <t>2024</t>
        </is>
      </c>
      <c r="D8" t="inlineStr">
        <is>
          <t>Documental</t>
        </is>
      </c>
      <c r="E8" t="inlineStr">
        <is>
          <t>España</t>
        </is>
      </c>
      <c r="F8" t="inlineStr"/>
      <c r="G8" s="5" t="n">
        <v>8</v>
      </c>
    </row>
    <row r="9">
      <c r="A9" t="inlineStr">
        <is>
          <t>s0008</t>
        </is>
      </c>
      <c r="B9" t="inlineStr">
        <is>
          <t>Morir para contar</t>
        </is>
      </c>
      <c r="C9" t="inlineStr">
        <is>
          <t>2017</t>
        </is>
      </c>
      <c r="D9" t="inlineStr">
        <is>
          <t>Documental</t>
        </is>
      </c>
      <c r="E9" t="inlineStr">
        <is>
          <t>España</t>
        </is>
      </c>
      <c r="F9" t="inlineStr"/>
      <c r="G9" s="5" t="n">
        <v>7.8</v>
      </c>
    </row>
    <row r="10">
      <c r="A10" t="inlineStr">
        <is>
          <t>s0009</t>
        </is>
      </c>
      <c r="B10" t="inlineStr">
        <is>
          <t>El caso Asunta: Operación Nenúfar</t>
        </is>
      </c>
      <c r="C10" t="inlineStr">
        <is>
          <t>2017</t>
        </is>
      </c>
      <c r="D10" t="inlineStr">
        <is>
          <t>Documental</t>
        </is>
      </c>
      <c r="E10" t="inlineStr">
        <is>
          <t>España</t>
        </is>
      </c>
      <c r="F10" t="inlineStr"/>
      <c r="G10" s="5" t="n">
        <v>7.8</v>
      </c>
    </row>
    <row r="11">
      <c r="A11" t="inlineStr">
        <is>
          <t>s0010</t>
        </is>
      </c>
      <c r="B11" t="inlineStr">
        <is>
          <t>Jeffrey Epstein: Asquerosamente Rico</t>
        </is>
      </c>
      <c r="C11" t="inlineStr">
        <is>
          <t>2020</t>
        </is>
      </c>
      <c r="D11" t="inlineStr">
        <is>
          <t>Documental</t>
        </is>
      </c>
      <c r="E11" t="inlineStr">
        <is>
          <t>Estados Unidos</t>
        </is>
      </c>
      <c r="F11" t="inlineStr"/>
      <c r="G11" s="5" t="n">
        <v>7.6</v>
      </c>
    </row>
    <row r="12">
      <c r="A12" t="inlineStr">
        <is>
          <t>s0011</t>
        </is>
      </c>
      <c r="B12" t="inlineStr">
        <is>
          <t>El silencio de otros</t>
        </is>
      </c>
      <c r="C12" t="inlineStr">
        <is>
          <t>2018</t>
        </is>
      </c>
      <c r="D12" t="inlineStr">
        <is>
          <t>Documental</t>
        </is>
      </c>
      <c r="E12" t="inlineStr">
        <is>
          <t>España</t>
        </is>
      </c>
      <c r="F12" t="inlineStr"/>
      <c r="G12" s="5" t="n">
        <v>7.6</v>
      </c>
    </row>
    <row r="13">
      <c r="A13" t="inlineStr">
        <is>
          <t>s0012</t>
        </is>
      </c>
      <c r="B13" t="inlineStr">
        <is>
          <t>Super Size Me</t>
        </is>
      </c>
      <c r="C13" t="inlineStr">
        <is>
          <t>2004</t>
        </is>
      </c>
      <c r="D13" t="inlineStr">
        <is>
          <t>Documental</t>
        </is>
      </c>
      <c r="E13" t="inlineStr">
        <is>
          <t>Estados Unidos</t>
        </is>
      </c>
      <c r="F13" t="inlineStr"/>
      <c r="G13" s="5" t="n">
        <v>7.6</v>
      </c>
    </row>
    <row r="14">
      <c r="A14" t="inlineStr">
        <is>
          <t>s0013</t>
        </is>
      </c>
      <c r="B14" t="inlineStr">
        <is>
          <t>La familia</t>
        </is>
      </c>
      <c r="C14" t="inlineStr">
        <is>
          <t>2021</t>
        </is>
      </c>
      <c r="D14" t="inlineStr">
        <is>
          <t>Documental</t>
        </is>
      </c>
      <c r="E14" t="inlineStr">
        <is>
          <t>España</t>
        </is>
      </c>
      <c r="F14" t="inlineStr"/>
      <c r="G14" s="5" t="n">
        <v>7.5</v>
      </c>
    </row>
    <row r="15">
      <c r="A15" t="inlineStr">
        <is>
          <t>s0014</t>
        </is>
      </c>
      <c r="B15" t="inlineStr">
        <is>
          <t>Cómo se convirtieron en tiranos</t>
        </is>
      </c>
      <c r="C15" t="inlineStr">
        <is>
          <t>2021</t>
        </is>
      </c>
      <c r="D15" t="inlineStr">
        <is>
          <t>Documental</t>
        </is>
      </c>
      <c r="E15" t="inlineStr">
        <is>
          <t>Estados Unidos</t>
        </is>
      </c>
      <c r="F15" t="inlineStr"/>
      <c r="G15" s="5" t="n">
        <v>7.4</v>
      </c>
    </row>
    <row r="16">
      <c r="A16" t="inlineStr">
        <is>
          <t>s0015</t>
        </is>
      </c>
      <c r="B16" t="inlineStr">
        <is>
          <t>Nevenka</t>
        </is>
      </c>
      <c r="C16" t="inlineStr">
        <is>
          <t>2021</t>
        </is>
      </c>
      <c r="D16" t="inlineStr">
        <is>
          <t>Documental</t>
        </is>
      </c>
      <c r="E16" t="inlineStr">
        <is>
          <t>España</t>
        </is>
      </c>
      <c r="F16" t="inlineStr"/>
      <c r="G16" s="5" t="n">
        <v>7.2</v>
      </c>
    </row>
    <row r="17">
      <c r="A17" t="inlineStr">
        <is>
          <t>s0016</t>
        </is>
      </c>
      <c r="B17" t="inlineStr">
        <is>
          <t>Fahrenheit 9/11</t>
        </is>
      </c>
      <c r="C17" t="inlineStr">
        <is>
          <t>2004</t>
        </is>
      </c>
      <c r="D17" t="inlineStr">
        <is>
          <t>Documental</t>
        </is>
      </c>
      <c r="E17" t="inlineStr">
        <is>
          <t>Estados Unidos</t>
        </is>
      </c>
      <c r="F17" t="inlineStr"/>
      <c r="G17" s="5" t="n">
        <v>7.1</v>
      </c>
    </row>
    <row r="18">
      <c r="A18" t="inlineStr">
        <is>
          <t>s0017</t>
        </is>
      </c>
      <c r="B18" t="inlineStr">
        <is>
          <t>Palomares: Días de playa y plutonio</t>
        </is>
      </c>
      <c r="C18" t="inlineStr">
        <is>
          <t>2021</t>
        </is>
      </c>
      <c r="D18" t="inlineStr">
        <is>
          <t>Documental</t>
        </is>
      </c>
      <c r="E18" t="inlineStr">
        <is>
          <t>España</t>
        </is>
      </c>
      <c r="F18" t="inlineStr"/>
      <c r="G18" s="5" t="n">
        <v>7.1</v>
      </c>
    </row>
    <row r="19">
      <c r="A19" t="inlineStr">
        <is>
          <t>s0018</t>
        </is>
      </c>
      <c r="B19" t="inlineStr">
        <is>
          <t>Supergarcía</t>
        </is>
      </c>
      <c r="C19" t="inlineStr">
        <is>
          <t>2023</t>
        </is>
      </c>
      <c r="D19" t="inlineStr">
        <is>
          <t>Documental</t>
        </is>
      </c>
      <c r="E19" t="inlineStr">
        <is>
          <t>España</t>
        </is>
      </c>
      <c r="F19" t="inlineStr"/>
      <c r="G19" s="5" t="n">
        <v>6.9</v>
      </c>
    </row>
    <row r="20">
      <c r="A20" t="inlineStr">
        <is>
          <t>s0019</t>
        </is>
      </c>
      <c r="B20" t="inlineStr">
        <is>
          <t>Moto GP Unlimited</t>
        </is>
      </c>
      <c r="C20" t="inlineStr">
        <is>
          <t>2022</t>
        </is>
      </c>
      <c r="D20" t="inlineStr">
        <is>
          <t>Documental</t>
        </is>
      </c>
      <c r="E20" t="inlineStr">
        <is>
          <t>España</t>
        </is>
      </c>
      <c r="F20" t="inlineStr"/>
      <c r="G20" s="5" t="n">
        <v>6.7</v>
      </c>
    </row>
    <row r="21">
      <c r="A21" t="inlineStr">
        <is>
          <t>s0020</t>
        </is>
      </c>
      <c r="B21" t="inlineStr">
        <is>
          <t>Baraja: La Firma del Asesino</t>
        </is>
      </c>
      <c r="C21" t="inlineStr">
        <is>
          <t>2023</t>
        </is>
      </c>
      <c r="D21" t="inlineStr">
        <is>
          <t>Documental</t>
        </is>
      </c>
      <c r="E21" t="inlineStr">
        <is>
          <t>España</t>
        </is>
      </c>
      <c r="F21" t="inlineStr"/>
      <c r="G21" s="5" t="n">
        <v>6.6</v>
      </c>
    </row>
    <row r="22">
      <c r="A22" t="inlineStr">
        <is>
          <t>s0021</t>
        </is>
      </c>
      <c r="B22" t="inlineStr">
        <is>
          <t>11M</t>
        </is>
      </c>
      <c r="C22" t="inlineStr">
        <is>
          <t>2022</t>
        </is>
      </c>
      <c r="D22" t="inlineStr">
        <is>
          <t>Documental</t>
        </is>
      </c>
      <c r="E22" t="inlineStr">
        <is>
          <t>España</t>
        </is>
      </c>
      <c r="F22" t="inlineStr"/>
      <c r="G22" s="5" t="n">
        <v>6.5</v>
      </c>
    </row>
    <row r="23">
      <c r="A23" t="inlineStr">
        <is>
          <t>s0022</t>
        </is>
      </c>
      <c r="B23" t="inlineStr">
        <is>
          <t>Colgar las alas</t>
        </is>
      </c>
      <c r="C23" t="inlineStr">
        <is>
          <t>2020</t>
        </is>
      </c>
      <c r="D23" t="inlineStr">
        <is>
          <t>Documental</t>
        </is>
      </c>
      <c r="E23" t="inlineStr">
        <is>
          <t>España</t>
        </is>
      </c>
      <c r="F23" t="inlineStr"/>
      <c r="G23" s="5" t="n">
        <v>6</v>
      </c>
    </row>
    <row r="24">
      <c r="A24" t="inlineStr">
        <is>
          <t>s0023</t>
        </is>
      </c>
      <c r="B24" t="inlineStr">
        <is>
          <t>Apuntes para una película de atracos</t>
        </is>
      </c>
      <c r="C24" t="inlineStr">
        <is>
          <t>2018</t>
        </is>
      </c>
      <c r="D24" t="inlineStr">
        <is>
          <t>Documental</t>
        </is>
      </c>
      <c r="E24" t="inlineStr">
        <is>
          <t>España</t>
        </is>
      </c>
      <c r="F24" t="inlineStr"/>
      <c r="G24" s="5" t="n">
        <v>6</v>
      </c>
    </row>
    <row r="25">
      <c r="A25" t="inlineStr">
        <is>
          <t>s0024</t>
        </is>
      </c>
      <c r="B25" t="inlineStr">
        <is>
          <t>La fuerza del grupo</t>
        </is>
      </c>
      <c r="C25" t="inlineStr">
        <is>
          <t>2021</t>
        </is>
      </c>
      <c r="D25" t="inlineStr">
        <is>
          <t>Documental</t>
        </is>
      </c>
      <c r="E25" t="inlineStr">
        <is>
          <t>España</t>
        </is>
      </c>
      <c r="F25" t="inlineStr"/>
      <c r="G25" s="5" t="n">
        <v>5.8</v>
      </c>
    </row>
    <row r="26">
      <c r="A26" t="inlineStr">
        <is>
          <t>s0025</t>
        </is>
      </c>
      <c r="B26" t="inlineStr">
        <is>
          <t>Ghislaine Maxwell: Asquerosamente Rica</t>
        </is>
      </c>
      <c r="C26" t="inlineStr">
        <is>
          <t>2022</t>
        </is>
      </c>
      <c r="D26" t="inlineStr">
        <is>
          <t>Documental</t>
        </is>
      </c>
      <c r="E26" t="inlineStr">
        <is>
          <t>Estados Unidos</t>
        </is>
      </c>
      <c r="F26" t="inlineStr"/>
      <c r="G26" s="5" t="n">
        <v>5.4</v>
      </c>
    </row>
    <row r="27">
      <c r="A27" t="inlineStr">
        <is>
          <t>s0026</t>
        </is>
      </c>
      <c r="B27" t="inlineStr">
        <is>
          <t>Putin: de espía a presidente</t>
        </is>
      </c>
      <c r="C27" t="inlineStr">
        <is>
          <t>2020</t>
        </is>
      </c>
      <c r="D27" t="inlineStr">
        <is>
          <t>Documental</t>
        </is>
      </c>
      <c r="E27" t="inlineStr">
        <is>
          <t>Reino Unido</t>
        </is>
      </c>
      <c r="F27" t="inlineStr"/>
      <c r="G27" s="5" t="n">
        <v>5.1</v>
      </c>
    </row>
    <row r="28">
      <c r="A28" t="inlineStr">
        <is>
          <t>s0027</t>
        </is>
      </c>
      <c r="B28" t="inlineStr">
        <is>
          <t>Medina: El estafador de famosos</t>
        </is>
      </c>
      <c r="C28" t="inlineStr">
        <is>
          <t>2024</t>
        </is>
      </c>
      <c r="D28" t="inlineStr">
        <is>
          <t>Documental</t>
        </is>
      </c>
      <c r="E28" t="inlineStr">
        <is>
          <t>España</t>
        </is>
      </c>
      <c r="F28" t="inlineStr"/>
      <c r="G28" s="5" t="n">
        <v>5</v>
      </c>
    </row>
    <row r="29">
      <c r="A29" t="inlineStr">
        <is>
          <t>s0028</t>
        </is>
      </c>
      <c r="B29" t="inlineStr">
        <is>
          <t>Las cintas de Rosa Peral</t>
        </is>
      </c>
      <c r="C29" t="inlineStr">
        <is>
          <t>2023</t>
        </is>
      </c>
      <c r="D29" t="inlineStr">
        <is>
          <t>Documental</t>
        </is>
      </c>
      <c r="E29" t="inlineStr">
        <is>
          <t>España</t>
        </is>
      </c>
      <c r="F29" t="inlineStr"/>
      <c r="G29" s="5" t="n">
        <v>4.8</v>
      </c>
    </row>
    <row r="30">
      <c r="A30" t="inlineStr">
        <is>
          <t>s0030</t>
        </is>
      </c>
      <c r="B30" t="inlineStr">
        <is>
          <t>Las últimas horas de Mario Biondo</t>
        </is>
      </c>
      <c r="C30" t="inlineStr">
        <is>
          <t>2023</t>
        </is>
      </c>
      <c r="D30" t="inlineStr">
        <is>
          <t>Documental</t>
        </is>
      </c>
      <c r="E30" t="inlineStr">
        <is>
          <t>España</t>
        </is>
      </c>
      <c r="F30" t="inlineStr"/>
      <c r="G30" s="5" t="n">
        <v>4.6</v>
      </c>
    </row>
    <row r="31">
      <c r="A31" t="inlineStr">
        <is>
          <t>s0029</t>
        </is>
      </c>
      <c r="B31" t="inlineStr">
        <is>
          <t>Rubius X</t>
        </is>
      </c>
      <c r="C31" t="inlineStr">
        <is>
          <t>2022</t>
        </is>
      </c>
      <c r="D31" t="inlineStr">
        <is>
          <t>Documental</t>
        </is>
      </c>
      <c r="E31" t="inlineStr">
        <is>
          <t>España</t>
        </is>
      </c>
      <c r="F31" t="inlineStr"/>
      <c r="G31" s="5" t="n">
        <v>4.3</v>
      </c>
    </row>
    <row r="32">
      <c r="A32" t="inlineStr">
        <is>
          <t>s0031</t>
        </is>
      </c>
      <c r="B32" t="inlineStr">
        <is>
          <t>Adolescencia</t>
        </is>
      </c>
      <c r="C32" t="inlineStr">
        <is>
          <t>2025</t>
        </is>
      </c>
      <c r="D32" t="inlineStr">
        <is>
          <t>Miniserie</t>
        </is>
      </c>
      <c r="E32" t="inlineStr">
        <is>
          <t>Reino Unido</t>
        </is>
      </c>
      <c r="F32" t="inlineStr"/>
      <c r="G32" s="5" t="n">
        <v>10</v>
      </c>
    </row>
    <row r="33">
      <c r="A33" t="inlineStr">
        <is>
          <t>s0032</t>
        </is>
      </c>
      <c r="B33" t="inlineStr">
        <is>
          <t>El Colapso</t>
        </is>
      </c>
      <c r="C33" t="inlineStr">
        <is>
          <t>2019</t>
        </is>
      </c>
      <c r="D33" t="inlineStr">
        <is>
          <t>Miniserie</t>
        </is>
      </c>
      <c r="E33" t="inlineStr">
        <is>
          <t>Francia</t>
        </is>
      </c>
      <c r="F33" t="inlineStr"/>
      <c r="G33" s="5" t="n">
        <v>9</v>
      </c>
    </row>
    <row r="34">
      <c r="A34" t="inlineStr">
        <is>
          <t>s0033</t>
        </is>
      </c>
      <c r="B34" t="inlineStr">
        <is>
          <t>Chernóbil</t>
        </is>
      </c>
      <c r="C34" t="inlineStr">
        <is>
          <t>2019</t>
        </is>
      </c>
      <c r="D34" t="inlineStr">
        <is>
          <t>Miniserie</t>
        </is>
      </c>
      <c r="E34" t="inlineStr">
        <is>
          <t>Estados Unidos</t>
        </is>
      </c>
      <c r="F34" t="inlineStr"/>
      <c r="G34" s="5" t="n">
        <v>8.800000000000001</v>
      </c>
    </row>
    <row r="35">
      <c r="A35" t="inlineStr">
        <is>
          <t>s0034</t>
        </is>
      </c>
      <c r="B35" t="inlineStr">
        <is>
          <t>Antidisturbios</t>
        </is>
      </c>
      <c r="C35" t="inlineStr">
        <is>
          <t>2020</t>
        </is>
      </c>
      <c r="D35" t="inlineStr">
        <is>
          <t>Miniserie</t>
        </is>
      </c>
      <c r="E35" t="inlineStr">
        <is>
          <t>España</t>
        </is>
      </c>
      <c r="F35" t="inlineStr"/>
      <c r="G35" s="5" t="n">
        <v>8.6</v>
      </c>
    </row>
    <row r="36">
      <c r="A36" t="inlineStr">
        <is>
          <t>s0035</t>
        </is>
      </c>
      <c r="B36" t="inlineStr">
        <is>
          <t>Love, Death + Robots</t>
        </is>
      </c>
      <c r="C36" t="inlineStr">
        <is>
          <t>2019–act.</t>
        </is>
      </c>
      <c r="D36" t="inlineStr">
        <is>
          <t>Miniserie</t>
        </is>
      </c>
      <c r="E36" t="inlineStr">
        <is>
          <t>Estados Unidos</t>
        </is>
      </c>
      <c r="F36" t="inlineStr">
        <is>
          <t>Sí</t>
        </is>
      </c>
      <c r="G36" s="5" t="n">
        <v>8.4</v>
      </c>
    </row>
    <row r="37">
      <c r="A37" t="inlineStr">
        <is>
          <t>s0036</t>
        </is>
      </c>
      <c r="B37" t="inlineStr">
        <is>
          <t>El caso Asunta</t>
        </is>
      </c>
      <c r="C37" t="inlineStr">
        <is>
          <t>2024</t>
        </is>
      </c>
      <c r="D37" t="inlineStr">
        <is>
          <t>Miniserie</t>
        </is>
      </c>
      <c r="E37" t="inlineStr">
        <is>
          <t>España</t>
        </is>
      </c>
      <c r="F37" t="inlineStr"/>
      <c r="G37" s="5" t="n">
        <v>8</v>
      </c>
    </row>
    <row r="38">
      <c r="A38" t="inlineStr">
        <is>
          <t>s0037</t>
        </is>
      </c>
      <c r="B38" t="inlineStr">
        <is>
          <t>Anatomía de un instante</t>
        </is>
      </c>
      <c r="C38" t="inlineStr">
        <is>
          <t>2025</t>
        </is>
      </c>
      <c r="D38" t="inlineStr">
        <is>
          <t>Miniserie</t>
        </is>
      </c>
      <c r="E38" t="inlineStr">
        <is>
          <t>España</t>
        </is>
      </c>
      <c r="F38" t="inlineStr"/>
      <c r="G38" s="5" t="n">
        <v>8</v>
      </c>
    </row>
    <row r="39">
      <c r="A39" t="inlineStr">
        <is>
          <t>s0038</t>
        </is>
      </c>
      <c r="B39" t="inlineStr">
        <is>
          <t>El cuerpo en llamas</t>
        </is>
      </c>
      <c r="C39" t="inlineStr">
        <is>
          <t>2023</t>
        </is>
      </c>
      <c r="D39" t="inlineStr">
        <is>
          <t>Miniserie</t>
        </is>
      </c>
      <c r="E39" t="inlineStr">
        <is>
          <t>España</t>
        </is>
      </c>
      <c r="F39" t="inlineStr"/>
      <c r="G39" s="5" t="n">
        <v>7.7</v>
      </c>
    </row>
    <row r="40">
      <c r="A40" t="inlineStr">
        <is>
          <t>s0039</t>
        </is>
      </c>
      <c r="B40" t="inlineStr">
        <is>
          <t>El otro lado</t>
        </is>
      </c>
      <c r="C40" t="inlineStr">
        <is>
          <t>2023</t>
        </is>
      </c>
      <c r="D40" t="inlineStr">
        <is>
          <t>Miniserie</t>
        </is>
      </c>
      <c r="E40" t="inlineStr">
        <is>
          <t>España</t>
        </is>
      </c>
      <c r="F40" t="inlineStr"/>
      <c r="G40" s="5" t="n">
        <v>7.5</v>
      </c>
    </row>
    <row r="41">
      <c r="A41" t="inlineStr">
        <is>
          <t>s0040</t>
        </is>
      </c>
      <c r="B41" t="inlineStr">
        <is>
          <t>Apagón</t>
        </is>
      </c>
      <c r="C41" t="inlineStr">
        <is>
          <t>2022</t>
        </is>
      </c>
      <c r="D41" t="inlineStr">
        <is>
          <t>Miniserie</t>
        </is>
      </c>
      <c r="E41" t="inlineStr">
        <is>
          <t>España</t>
        </is>
      </c>
      <c r="F41" t="inlineStr"/>
      <c r="G41" s="5" t="n">
        <v>7.4</v>
      </c>
    </row>
    <row r="42">
      <c r="A42" t="inlineStr">
        <is>
          <t>s0041</t>
        </is>
      </c>
      <c r="B42" t="inlineStr">
        <is>
          <t>Baby Reindeer</t>
        </is>
      </c>
      <c r="C42" t="inlineStr">
        <is>
          <t>2024</t>
        </is>
      </c>
      <c r="D42" t="inlineStr">
        <is>
          <t>Miniserie</t>
        </is>
      </c>
      <c r="E42" t="inlineStr">
        <is>
          <t>Reino Unido</t>
        </is>
      </c>
      <c r="F42" t="inlineStr"/>
      <c r="G42" s="5" t="n">
        <v>7</v>
      </c>
    </row>
    <row r="43">
      <c r="A43" t="inlineStr">
        <is>
          <t>s0042</t>
        </is>
      </c>
      <c r="B43" t="inlineStr">
        <is>
          <t>Vincent Finch: Diario de un Ego</t>
        </is>
      </c>
      <c r="C43" t="inlineStr">
        <is>
          <t>2013</t>
        </is>
      </c>
      <c r="D43" t="inlineStr">
        <is>
          <t>Miniserie</t>
        </is>
      </c>
      <c r="E43" t="inlineStr">
        <is>
          <t>España</t>
        </is>
      </c>
      <c r="F43" t="inlineStr"/>
      <c r="G43" s="5" t="n">
        <v>6.8</v>
      </c>
    </row>
    <row r="44">
      <c r="A44" t="inlineStr">
        <is>
          <t>s0043</t>
        </is>
      </c>
      <c r="B44" t="inlineStr">
        <is>
          <t>Falcon y el Soldado de Invierno</t>
        </is>
      </c>
      <c r="C44" t="inlineStr">
        <is>
          <t>2021</t>
        </is>
      </c>
      <c r="D44" t="inlineStr">
        <is>
          <t>Miniserie</t>
        </is>
      </c>
      <c r="E44" t="inlineStr">
        <is>
          <t>Estados Unidos</t>
        </is>
      </c>
      <c r="F44" t="inlineStr"/>
      <c r="G44" s="5" t="n">
        <v>6.5</v>
      </c>
    </row>
    <row r="45">
      <c r="A45" t="inlineStr">
        <is>
          <t>s0044</t>
        </is>
      </c>
      <c r="B45" t="inlineStr">
        <is>
          <t>La chica de nieve</t>
        </is>
      </c>
      <c r="C45" t="inlineStr">
        <is>
          <t>2023–act.</t>
        </is>
      </c>
      <c r="D45" t="inlineStr">
        <is>
          <t>Miniserie</t>
        </is>
      </c>
      <c r="E45" t="inlineStr">
        <is>
          <t>España</t>
        </is>
      </c>
      <c r="F45" t="inlineStr"/>
      <c r="G45" s="5" t="n">
        <v>6.3</v>
      </c>
    </row>
    <row r="46">
      <c r="A46" t="inlineStr">
        <is>
          <t>s0045</t>
        </is>
      </c>
      <c r="B46" t="inlineStr">
        <is>
          <t>Bruja Escarlata y Visión</t>
        </is>
      </c>
      <c r="C46" t="inlineStr">
        <is>
          <t>2021</t>
        </is>
      </c>
      <c r="D46" t="inlineStr">
        <is>
          <t>Miniserie</t>
        </is>
      </c>
      <c r="E46" t="inlineStr">
        <is>
          <t>Estados Unidos</t>
        </is>
      </c>
      <c r="F46" t="inlineStr"/>
      <c r="G46" s="5" t="n">
        <v>5.6</v>
      </c>
    </row>
    <row r="47">
      <c r="A47" t="inlineStr">
        <is>
          <t>s0046</t>
        </is>
      </c>
      <c r="B47" t="inlineStr">
        <is>
          <t>El hundimiento de Japón</t>
        </is>
      </c>
      <c r="C47" t="inlineStr">
        <is>
          <t>2020</t>
        </is>
      </c>
      <c r="D47" t="inlineStr">
        <is>
          <t>Miniserie</t>
        </is>
      </c>
      <c r="E47" t="inlineStr">
        <is>
          <t>Japón</t>
        </is>
      </c>
      <c r="F47" t="inlineStr">
        <is>
          <t>Sí</t>
        </is>
      </c>
      <c r="G47" s="5" t="n">
        <v>4.8</v>
      </c>
    </row>
    <row r="48">
      <c r="A48" t="inlineStr">
        <is>
          <t>s0047</t>
        </is>
      </c>
      <c r="B48" t="inlineStr">
        <is>
          <t>Ju-On: Orígenes</t>
        </is>
      </c>
      <c r="C48" t="inlineStr">
        <is>
          <t>2020</t>
        </is>
      </c>
      <c r="D48" t="inlineStr">
        <is>
          <t>Miniserie</t>
        </is>
      </c>
      <c r="E48" t="inlineStr">
        <is>
          <t>Japón</t>
        </is>
      </c>
      <c r="F48" t="inlineStr"/>
      <c r="G48" s="5" t="n">
        <v>4.6</v>
      </c>
    </row>
    <row r="49">
      <c r="A49" t="inlineStr">
        <is>
          <t>s0048</t>
        </is>
      </c>
      <c r="B49" t="inlineStr">
        <is>
          <t>Cowboy Bebop</t>
        </is>
      </c>
      <c r="C49" t="inlineStr">
        <is>
          <t>1998</t>
        </is>
      </c>
      <c r="D49" t="inlineStr">
        <is>
          <t>Serie</t>
        </is>
      </c>
      <c r="E49" t="inlineStr">
        <is>
          <t>Japón</t>
        </is>
      </c>
      <c r="F49" t="inlineStr">
        <is>
          <t>Sí</t>
        </is>
      </c>
      <c r="G49" s="5" t="n">
        <v>10</v>
      </c>
    </row>
    <row r="50">
      <c r="A50" t="inlineStr">
        <is>
          <t>s0049</t>
        </is>
      </c>
      <c r="B50" t="inlineStr">
        <is>
          <t>Dragon Ball Z</t>
        </is>
      </c>
      <c r="C50" t="inlineStr">
        <is>
          <t>1989–1996</t>
        </is>
      </c>
      <c r="D50" t="inlineStr">
        <is>
          <t>Serie</t>
        </is>
      </c>
      <c r="E50" t="inlineStr">
        <is>
          <t>Japón</t>
        </is>
      </c>
      <c r="F50" t="inlineStr">
        <is>
          <t>Sí</t>
        </is>
      </c>
      <c r="G50" s="5" t="n">
        <v>10</v>
      </c>
    </row>
    <row r="51">
      <c r="A51" t="inlineStr">
        <is>
          <t>s0050</t>
        </is>
      </c>
      <c r="B51" t="inlineStr">
        <is>
          <t>Juego de tronos</t>
        </is>
      </c>
      <c r="C51" t="inlineStr">
        <is>
          <t>2011–2019</t>
        </is>
      </c>
      <c r="D51" t="inlineStr">
        <is>
          <t>Serie</t>
        </is>
      </c>
      <c r="E51" t="inlineStr">
        <is>
          <t>Estados Unidos</t>
        </is>
      </c>
      <c r="F51" t="inlineStr"/>
      <c r="G51" s="5" t="n">
        <v>9.199999999999999</v>
      </c>
    </row>
    <row r="52">
      <c r="A52" t="inlineStr">
        <is>
          <t>s0051</t>
        </is>
      </c>
      <c r="B52" t="inlineStr">
        <is>
          <t>Shingeki No Kyojin</t>
        </is>
      </c>
      <c r="C52" t="inlineStr">
        <is>
          <t>2013–act.</t>
        </is>
      </c>
      <c r="D52" t="inlineStr">
        <is>
          <t>Serie</t>
        </is>
      </c>
      <c r="E52" t="inlineStr">
        <is>
          <t>Japón</t>
        </is>
      </c>
      <c r="F52" t="inlineStr">
        <is>
          <t>Sí</t>
        </is>
      </c>
      <c r="G52" s="5" t="n">
        <v>9</v>
      </c>
    </row>
    <row r="53">
      <c r="A53" t="inlineStr">
        <is>
          <t>s0052</t>
        </is>
      </c>
      <c r="B53" t="inlineStr">
        <is>
          <t>Cómo conocí a vuestra madre</t>
        </is>
      </c>
      <c r="C53" t="inlineStr">
        <is>
          <t>2005–2014</t>
        </is>
      </c>
      <c r="D53" t="inlineStr">
        <is>
          <t>Serie</t>
        </is>
      </c>
      <c r="E53" t="inlineStr">
        <is>
          <t>Estados Unidos</t>
        </is>
      </c>
      <c r="F53" t="inlineStr"/>
      <c r="G53" s="5" t="n">
        <v>8.800000000000001</v>
      </c>
    </row>
    <row r="54">
      <c r="A54" t="inlineStr">
        <is>
          <t>s0053</t>
        </is>
      </c>
      <c r="B54" t="inlineStr">
        <is>
          <t>Tengoku Daimakyou</t>
        </is>
      </c>
      <c r="C54" t="inlineStr">
        <is>
          <t>2023</t>
        </is>
      </c>
      <c r="D54" t="inlineStr">
        <is>
          <t>Serie</t>
        </is>
      </c>
      <c r="E54" t="inlineStr">
        <is>
          <t>Japón</t>
        </is>
      </c>
      <c r="F54" t="inlineStr">
        <is>
          <t>Sí</t>
        </is>
      </c>
      <c r="G54" s="5" t="n">
        <v>8.800000000000001</v>
      </c>
    </row>
    <row r="55">
      <c r="A55" t="inlineStr">
        <is>
          <t>s0054</t>
        </is>
      </c>
      <c r="B55" t="inlineStr">
        <is>
          <t>Black Mirror</t>
        </is>
      </c>
      <c r="C55" t="inlineStr">
        <is>
          <t>2011–2019</t>
        </is>
      </c>
      <c r="D55" t="inlineStr">
        <is>
          <t>Serie</t>
        </is>
      </c>
      <c r="E55" t="inlineStr">
        <is>
          <t>Reino Unido</t>
        </is>
      </c>
      <c r="F55" t="inlineStr"/>
      <c r="G55" s="5" t="n">
        <v>8.699999999999999</v>
      </c>
    </row>
    <row r="56">
      <c r="A56" t="inlineStr">
        <is>
          <t>s0055</t>
        </is>
      </c>
      <c r="B56" t="inlineStr">
        <is>
          <t>Detective Conan</t>
        </is>
      </c>
      <c r="C56" t="inlineStr">
        <is>
          <t>1996–act.</t>
        </is>
      </c>
      <c r="D56" t="inlineStr">
        <is>
          <t>Serie</t>
        </is>
      </c>
      <c r="E56" t="inlineStr">
        <is>
          <t>Japón</t>
        </is>
      </c>
      <c r="F56" t="inlineStr">
        <is>
          <t>Sí</t>
        </is>
      </c>
      <c r="G56" s="5" t="n">
        <v>8.4</v>
      </c>
    </row>
    <row r="57">
      <c r="A57" t="inlineStr">
        <is>
          <t>s0056</t>
        </is>
      </c>
      <c r="B57" t="inlineStr">
        <is>
          <t>Que viene el lobo</t>
        </is>
      </c>
      <c r="C57" t="inlineStr">
        <is>
          <t>2020</t>
        </is>
      </c>
      <c r="D57" t="inlineStr">
        <is>
          <t>Serie</t>
        </is>
      </c>
      <c r="E57" t="inlineStr">
        <is>
          <t>Dinamarca</t>
        </is>
      </c>
      <c r="F57" t="inlineStr"/>
      <c r="G57" s="5" t="n">
        <v>8.300000000000001</v>
      </c>
    </row>
    <row r="58">
      <c r="A58" t="inlineStr">
        <is>
          <t>s0057</t>
        </is>
      </c>
      <c r="B58" t="inlineStr">
        <is>
          <t>Avatar: La leyenda de Aang</t>
        </is>
      </c>
      <c r="C58" t="inlineStr">
        <is>
          <t>2005–2008</t>
        </is>
      </c>
      <c r="D58" t="inlineStr">
        <is>
          <t>Serie</t>
        </is>
      </c>
      <c r="E58" t="inlineStr">
        <is>
          <t>Estados Unidos</t>
        </is>
      </c>
      <c r="F58" t="inlineStr">
        <is>
          <t>Sí</t>
        </is>
      </c>
      <c r="G58" s="5" t="n">
        <v>8.300000000000001</v>
      </c>
    </row>
    <row r="59">
      <c r="A59" t="inlineStr">
        <is>
          <t>s0058</t>
        </is>
      </c>
      <c r="B59" t="inlineStr">
        <is>
          <t>Hora de Aventuras</t>
        </is>
      </c>
      <c r="C59" t="inlineStr">
        <is>
          <t>2010–2018</t>
        </is>
      </c>
      <c r="D59" t="inlineStr">
        <is>
          <t>Serie</t>
        </is>
      </c>
      <c r="E59" t="inlineStr">
        <is>
          <t>Estados Unidos</t>
        </is>
      </c>
      <c r="F59" t="inlineStr">
        <is>
          <t>Sí</t>
        </is>
      </c>
      <c r="G59" s="5" t="n">
        <v>8.199999999999999</v>
      </c>
    </row>
    <row r="60">
      <c r="A60" t="inlineStr">
        <is>
          <t>s0059</t>
        </is>
      </c>
      <c r="B60" t="inlineStr">
        <is>
          <t>Scooby-Doo</t>
        </is>
      </c>
      <c r="C60" t="inlineStr">
        <is>
          <t>1969–act.</t>
        </is>
      </c>
      <c r="D60" t="inlineStr">
        <is>
          <t>Serie</t>
        </is>
      </c>
      <c r="E60" t="inlineStr">
        <is>
          <t>Estados Unidos</t>
        </is>
      </c>
      <c r="F60" t="inlineStr">
        <is>
          <t>Sí</t>
        </is>
      </c>
      <c r="G60" s="5" t="n">
        <v>8.199999999999999</v>
      </c>
    </row>
    <row r="61">
      <c r="A61" t="inlineStr">
        <is>
          <t>s0060</t>
        </is>
      </c>
      <c r="B61" t="inlineStr">
        <is>
          <t>Looney Tunes</t>
        </is>
      </c>
      <c r="C61" t="inlineStr">
        <is>
          <t>1930–act.</t>
        </is>
      </c>
      <c r="D61" t="inlineStr">
        <is>
          <t>Serie</t>
        </is>
      </c>
      <c r="E61" t="inlineStr">
        <is>
          <t>Estados Unidos</t>
        </is>
      </c>
      <c r="F61" t="inlineStr">
        <is>
          <t>Sí</t>
        </is>
      </c>
      <c r="G61" s="5" t="n">
        <v>8.199999999999999</v>
      </c>
    </row>
    <row r="62">
      <c r="A62" t="inlineStr">
        <is>
          <t>s0061</t>
        </is>
      </c>
      <c r="B62" t="inlineStr">
        <is>
          <t>La unidad</t>
        </is>
      </c>
      <c r="C62" t="inlineStr">
        <is>
          <t>2020–2022</t>
        </is>
      </c>
      <c r="D62" t="inlineStr">
        <is>
          <t>Serie</t>
        </is>
      </c>
      <c r="E62" t="inlineStr">
        <is>
          <t>España</t>
        </is>
      </c>
      <c r="F62" t="inlineStr"/>
      <c r="G62" s="5" t="n">
        <v>8</v>
      </c>
    </row>
    <row r="63">
      <c r="A63" t="inlineStr">
        <is>
          <t>s0062</t>
        </is>
      </c>
      <c r="B63" t="inlineStr">
        <is>
          <t>Aquí no hay quién viva</t>
        </is>
      </c>
      <c r="C63" t="inlineStr">
        <is>
          <t>2003–2006</t>
        </is>
      </c>
      <c r="D63" t="inlineStr">
        <is>
          <t>Serie</t>
        </is>
      </c>
      <c r="E63" t="inlineStr">
        <is>
          <t>España</t>
        </is>
      </c>
      <c r="F63" t="inlineStr"/>
      <c r="G63" s="5" t="n">
        <v>8</v>
      </c>
    </row>
    <row r="64">
      <c r="A64" t="inlineStr">
        <is>
          <t>s0063</t>
        </is>
      </c>
      <c r="B64" t="inlineStr">
        <is>
          <t>No me gusta conducir</t>
        </is>
      </c>
      <c r="C64" t="inlineStr">
        <is>
          <t>2022</t>
        </is>
      </c>
      <c r="D64" t="inlineStr">
        <is>
          <t>Serie</t>
        </is>
      </c>
      <c r="E64" t="inlineStr">
        <is>
          <t>España</t>
        </is>
      </c>
      <c r="F64" t="inlineStr"/>
      <c r="G64" s="5" t="n">
        <v>8</v>
      </c>
    </row>
    <row r="65">
      <c r="A65" t="inlineStr">
        <is>
          <t>s0064</t>
        </is>
      </c>
      <c r="B65" t="inlineStr">
        <is>
          <t>Neon Genesis Evangelion</t>
        </is>
      </c>
      <c r="C65" t="inlineStr">
        <is>
          <t>1995–1996</t>
        </is>
      </c>
      <c r="D65" t="inlineStr">
        <is>
          <t>Serie</t>
        </is>
      </c>
      <c r="E65" t="inlineStr">
        <is>
          <t>Japón</t>
        </is>
      </c>
      <c r="F65" t="inlineStr">
        <is>
          <t>Sí</t>
        </is>
      </c>
      <c r="G65" s="5" t="n">
        <v>8</v>
      </c>
    </row>
    <row r="66">
      <c r="A66" t="inlineStr">
        <is>
          <t>s0065</t>
        </is>
      </c>
      <c r="B66" t="inlineStr">
        <is>
          <t>El correcaminos</t>
        </is>
      </c>
      <c r="C66" t="inlineStr">
        <is>
          <t>1966–1973</t>
        </is>
      </c>
      <c r="D66" t="inlineStr">
        <is>
          <t>Serie</t>
        </is>
      </c>
      <c r="E66" t="inlineStr">
        <is>
          <t>Estados Unidos</t>
        </is>
      </c>
      <c r="F66" t="inlineStr">
        <is>
          <t>Sí</t>
        </is>
      </c>
      <c r="G66" s="5" t="n">
        <v>8</v>
      </c>
    </row>
    <row r="67">
      <c r="A67" t="inlineStr">
        <is>
          <t>s0066</t>
        </is>
      </c>
      <c r="B67" t="inlineStr">
        <is>
          <t>Dragon Ball</t>
        </is>
      </c>
      <c r="C67" t="inlineStr">
        <is>
          <t>1986–1989</t>
        </is>
      </c>
      <c r="D67" t="inlineStr">
        <is>
          <t>Serie</t>
        </is>
      </c>
      <c r="E67" t="inlineStr">
        <is>
          <t>Japón</t>
        </is>
      </c>
      <c r="F67" t="inlineStr">
        <is>
          <t>Sí</t>
        </is>
      </c>
      <c r="G67" s="5" t="n">
        <v>8</v>
      </c>
    </row>
    <row r="68">
      <c r="A68" t="inlineStr">
        <is>
          <t>s0067</t>
        </is>
      </c>
      <c r="B68" t="inlineStr">
        <is>
          <t>Odd Taxi</t>
        </is>
      </c>
      <c r="C68" t="inlineStr">
        <is>
          <t>2021</t>
        </is>
      </c>
      <c r="D68" t="inlineStr">
        <is>
          <t>Serie</t>
        </is>
      </c>
      <c r="E68" t="inlineStr">
        <is>
          <t>Japón</t>
        </is>
      </c>
      <c r="F68" t="inlineStr">
        <is>
          <t>Sí</t>
        </is>
      </c>
      <c r="G68" s="5" t="n">
        <v>7.9</v>
      </c>
    </row>
    <row r="69">
      <c r="A69" t="inlineStr">
        <is>
          <t>s0068</t>
        </is>
      </c>
      <c r="B69" t="inlineStr">
        <is>
          <t>Los Simpson</t>
        </is>
      </c>
      <c r="C69" t="inlineStr">
        <is>
          <t>1989–act.</t>
        </is>
      </c>
      <c r="D69" t="inlineStr">
        <is>
          <t>Serie</t>
        </is>
      </c>
      <c r="E69" t="inlineStr">
        <is>
          <t>Estados Unidos</t>
        </is>
      </c>
      <c r="F69" t="inlineStr">
        <is>
          <t>Sí</t>
        </is>
      </c>
      <c r="G69" s="5" t="n">
        <v>7.8</v>
      </c>
    </row>
    <row r="70">
      <c r="A70" t="inlineStr">
        <is>
          <t>s0069</t>
        </is>
      </c>
      <c r="B70" t="inlineStr">
        <is>
          <t>Malcolm</t>
        </is>
      </c>
      <c r="C70" t="inlineStr">
        <is>
          <t>2000–2006</t>
        </is>
      </c>
      <c r="D70" t="inlineStr">
        <is>
          <t>Serie</t>
        </is>
      </c>
      <c r="E70" t="inlineStr">
        <is>
          <t>Estados Unidos</t>
        </is>
      </c>
      <c r="F70" t="inlineStr"/>
      <c r="G70" s="5" t="n">
        <v>7.7</v>
      </c>
    </row>
    <row r="71">
      <c r="A71" t="inlineStr">
        <is>
          <t>s0070</t>
        </is>
      </c>
      <c r="B71" t="inlineStr">
        <is>
          <t>Alma</t>
        </is>
      </c>
      <c r="C71" t="inlineStr">
        <is>
          <t>2022</t>
        </is>
      </c>
      <c r="D71" t="inlineStr">
        <is>
          <t>Serie</t>
        </is>
      </c>
      <c r="E71" t="inlineStr">
        <is>
          <t>España</t>
        </is>
      </c>
      <c r="F71" t="inlineStr"/>
      <c r="G71" s="5" t="n">
        <v>7.6</v>
      </c>
    </row>
    <row r="72">
      <c r="A72" t="inlineStr">
        <is>
          <t>s0071</t>
        </is>
      </c>
      <c r="B72" t="inlineStr">
        <is>
          <t>Las Macabras Aventuras de Billy y Mandy</t>
        </is>
      </c>
      <c r="C72" t="inlineStr">
        <is>
          <t>2001–act.</t>
        </is>
      </c>
      <c r="D72" t="inlineStr">
        <is>
          <t>Serie</t>
        </is>
      </c>
      <c r="E72" t="inlineStr">
        <is>
          <t>Estados Unidos</t>
        </is>
      </c>
      <c r="F72" t="inlineStr">
        <is>
          <t>Sí</t>
        </is>
      </c>
      <c r="G72" s="5" t="n">
        <v>7.4</v>
      </c>
    </row>
    <row r="73">
      <c r="A73" t="inlineStr">
        <is>
          <t>s0072</t>
        </is>
      </c>
      <c r="B73" t="inlineStr">
        <is>
          <t>Los autos locos</t>
        </is>
      </c>
      <c r="C73" t="inlineStr">
        <is>
          <t>1968–1969</t>
        </is>
      </c>
      <c r="D73" t="inlineStr">
        <is>
          <t>Serie</t>
        </is>
      </c>
      <c r="E73" t="inlineStr">
        <is>
          <t>Estados Unidos</t>
        </is>
      </c>
      <c r="F73" t="inlineStr">
        <is>
          <t>Sí</t>
        </is>
      </c>
      <c r="G73" s="5" t="n">
        <v>7.4</v>
      </c>
    </row>
    <row r="74">
      <c r="A74" t="inlineStr">
        <is>
          <t>s0073</t>
        </is>
      </c>
      <c r="B74" t="inlineStr">
        <is>
          <t>Doraemon</t>
        </is>
      </c>
      <c r="C74" t="inlineStr">
        <is>
          <t>1979–2005</t>
        </is>
      </c>
      <c r="D74" t="inlineStr">
        <is>
          <t>Serie</t>
        </is>
      </c>
      <c r="E74" t="inlineStr">
        <is>
          <t>Japón</t>
        </is>
      </c>
      <c r="F74" t="inlineStr">
        <is>
          <t>Sí</t>
        </is>
      </c>
      <c r="G74" s="5" t="n">
        <v>7.3</v>
      </c>
    </row>
    <row r="75">
      <c r="A75" t="inlineStr">
        <is>
          <t>s0074</t>
        </is>
      </c>
      <c r="B75" t="inlineStr">
        <is>
          <t>La caída de la casa Usher</t>
        </is>
      </c>
      <c r="C75" t="inlineStr">
        <is>
          <t>2023</t>
        </is>
      </c>
      <c r="D75" t="inlineStr">
        <is>
          <t>Serie</t>
        </is>
      </c>
      <c r="E75" t="inlineStr">
        <is>
          <t>Estados Unidos</t>
        </is>
      </c>
      <c r="F75" t="inlineStr"/>
      <c r="G75" s="5" t="n">
        <v>7.3</v>
      </c>
    </row>
    <row r="76">
      <c r="A76" t="inlineStr">
        <is>
          <t>s0075</t>
        </is>
      </c>
      <c r="B76" t="inlineStr">
        <is>
          <t>La hora chanante</t>
        </is>
      </c>
      <c r="C76" t="inlineStr">
        <is>
          <t>2002–2005</t>
        </is>
      </c>
      <c r="D76" t="inlineStr">
        <is>
          <t>Serie</t>
        </is>
      </c>
      <c r="E76" t="inlineStr">
        <is>
          <t>España</t>
        </is>
      </c>
      <c r="F76" t="inlineStr"/>
      <c r="G76" s="5" t="n">
        <v>7.2</v>
      </c>
    </row>
    <row r="77">
      <c r="A77" t="inlineStr">
        <is>
          <t>s0076</t>
        </is>
      </c>
      <c r="B77" t="inlineStr">
        <is>
          <t>Padre de familia</t>
        </is>
      </c>
      <c r="C77" t="inlineStr">
        <is>
          <t>1999–act.</t>
        </is>
      </c>
      <c r="D77" t="inlineStr">
        <is>
          <t>Serie</t>
        </is>
      </c>
      <c r="E77" t="inlineStr">
        <is>
          <t>Estados Unidos</t>
        </is>
      </c>
      <c r="F77" t="inlineStr">
        <is>
          <t>Sí</t>
        </is>
      </c>
      <c r="G77" s="5" t="n">
        <v>7.2</v>
      </c>
    </row>
    <row r="78">
      <c r="A78" t="inlineStr">
        <is>
          <t>s0077</t>
        </is>
      </c>
      <c r="B78" t="inlineStr">
        <is>
          <t>Friends</t>
        </is>
      </c>
      <c r="C78" t="inlineStr">
        <is>
          <t>1994–2004</t>
        </is>
      </c>
      <c r="D78" t="inlineStr">
        <is>
          <t>Serie</t>
        </is>
      </c>
      <c r="E78" t="inlineStr">
        <is>
          <t>Estados Unidos</t>
        </is>
      </c>
      <c r="F78" t="inlineStr"/>
      <c r="G78" s="5" t="n">
        <v>7.2</v>
      </c>
    </row>
    <row r="79">
      <c r="A79" t="inlineStr">
        <is>
          <t>s0078</t>
        </is>
      </c>
      <c r="B79" t="inlineStr">
        <is>
          <t>Malviviendo</t>
        </is>
      </c>
      <c r="C79" t="inlineStr">
        <is>
          <t>2008–2014</t>
        </is>
      </c>
      <c r="D79" t="inlineStr">
        <is>
          <t>Serie</t>
        </is>
      </c>
      <c r="E79" t="inlineStr">
        <is>
          <t>España</t>
        </is>
      </c>
      <c r="F79" t="inlineStr"/>
      <c r="G79" s="5" t="n">
        <v>7.1</v>
      </c>
    </row>
    <row r="80">
      <c r="A80" t="inlineStr">
        <is>
          <t>s0079</t>
        </is>
      </c>
      <c r="B80" t="inlineStr">
        <is>
          <t>Aída</t>
        </is>
      </c>
      <c r="C80" t="inlineStr">
        <is>
          <t>2005–2014</t>
        </is>
      </c>
      <c r="D80" t="inlineStr">
        <is>
          <t>Serie</t>
        </is>
      </c>
      <c r="E80" t="inlineStr">
        <is>
          <t>España</t>
        </is>
      </c>
      <c r="F80" t="inlineStr"/>
      <c r="G80" s="5" t="n">
        <v>7.1</v>
      </c>
    </row>
    <row r="81">
      <c r="A81" t="inlineStr">
        <is>
          <t>s0080</t>
        </is>
      </c>
      <c r="B81" t="inlineStr">
        <is>
          <t>Agallas, el perro cobarde</t>
        </is>
      </c>
      <c r="C81" t="inlineStr">
        <is>
          <t>1999–2002</t>
        </is>
      </c>
      <c r="D81" t="inlineStr">
        <is>
          <t>Serie</t>
        </is>
      </c>
      <c r="E81" t="inlineStr">
        <is>
          <t>Estados Unidos</t>
        </is>
      </c>
      <c r="F81" t="inlineStr">
        <is>
          <t>Sí</t>
        </is>
      </c>
      <c r="G81" s="5" t="n">
        <v>7.1</v>
      </c>
    </row>
    <row r="82">
      <c r="A82" t="inlineStr">
        <is>
          <t>s0081</t>
        </is>
      </c>
      <c r="B82" t="inlineStr">
        <is>
          <t>Los Caballeros del Zodiaco</t>
        </is>
      </c>
      <c r="C82" t="inlineStr">
        <is>
          <t>1986–1989</t>
        </is>
      </c>
      <c r="D82" t="inlineStr">
        <is>
          <t>Serie</t>
        </is>
      </c>
      <c r="E82" t="inlineStr">
        <is>
          <t>Japón</t>
        </is>
      </c>
      <c r="F82" t="inlineStr">
        <is>
          <t>Sí</t>
        </is>
      </c>
      <c r="G82" s="5" t="n">
        <v>7.1</v>
      </c>
    </row>
    <row r="83">
      <c r="A83" t="inlineStr">
        <is>
          <t>s0082</t>
        </is>
      </c>
      <c r="B83" t="inlineStr">
        <is>
          <t>Ed, Edd y Eddy</t>
        </is>
      </c>
      <c r="C83" t="inlineStr">
        <is>
          <t>1999–2009</t>
        </is>
      </c>
      <c r="D83" t="inlineStr">
        <is>
          <t>Serie</t>
        </is>
      </c>
      <c r="E83" t="inlineStr">
        <is>
          <t>Estados Unidos</t>
        </is>
      </c>
      <c r="F83" t="inlineStr">
        <is>
          <t>Sí</t>
        </is>
      </c>
      <c r="G83" s="5" t="n">
        <v>7</v>
      </c>
    </row>
    <row r="84">
      <c r="A84" t="inlineStr">
        <is>
          <t>s0083</t>
        </is>
      </c>
      <c r="B84" t="inlineStr">
        <is>
          <t>El juego del calamar</t>
        </is>
      </c>
      <c r="C84" t="inlineStr">
        <is>
          <t>2021</t>
        </is>
      </c>
      <c r="D84" t="inlineStr">
        <is>
          <t>Serie</t>
        </is>
      </c>
      <c r="E84" t="inlineStr">
        <is>
          <t>Corea del Sur</t>
        </is>
      </c>
      <c r="F84" t="inlineStr"/>
      <c r="G84" s="5" t="n">
        <v>7</v>
      </c>
    </row>
    <row r="85">
      <c r="A85" t="inlineStr">
        <is>
          <t>s0084</t>
        </is>
      </c>
      <c r="B85" t="inlineStr">
        <is>
          <t>El príncipe de Bel-Air</t>
        </is>
      </c>
      <c r="C85" t="inlineStr">
        <is>
          <t>1990–1996</t>
        </is>
      </c>
      <c r="D85" t="inlineStr">
        <is>
          <t>Serie</t>
        </is>
      </c>
      <c r="E85" t="inlineStr">
        <is>
          <t>Estados Unidos</t>
        </is>
      </c>
      <c r="F85" t="inlineStr"/>
      <c r="G85" s="5" t="n">
        <v>7</v>
      </c>
    </row>
    <row r="86">
      <c r="A86" t="inlineStr">
        <is>
          <t>s0085</t>
        </is>
      </c>
      <c r="B86" t="inlineStr">
        <is>
          <t>Shin Chan</t>
        </is>
      </c>
      <c r="C86" t="inlineStr">
        <is>
          <t>1992–act.</t>
        </is>
      </c>
      <c r="D86" t="inlineStr">
        <is>
          <t>Serie</t>
        </is>
      </c>
      <c r="E86" t="inlineStr">
        <is>
          <t>Japón</t>
        </is>
      </c>
      <c r="F86" t="inlineStr">
        <is>
          <t>Sí</t>
        </is>
      </c>
      <c r="G86" s="5" t="n">
        <v>7</v>
      </c>
    </row>
    <row r="87">
      <c r="A87" t="inlineStr">
        <is>
          <t>s0086</t>
        </is>
      </c>
      <c r="B87" t="inlineStr">
        <is>
          <t>Desencanto</t>
        </is>
      </c>
      <c r="C87" t="inlineStr">
        <is>
          <t>2018–act.</t>
        </is>
      </c>
      <c r="D87" t="inlineStr">
        <is>
          <t>Serie</t>
        </is>
      </c>
      <c r="E87" t="inlineStr">
        <is>
          <t>Estados Unidos</t>
        </is>
      </c>
      <c r="F87" t="inlineStr">
        <is>
          <t>Sí</t>
        </is>
      </c>
      <c r="G87" s="5" t="n">
        <v>6.9</v>
      </c>
    </row>
    <row r="88">
      <c r="A88" t="inlineStr">
        <is>
          <t>s0087</t>
        </is>
      </c>
      <c r="B88" t="inlineStr">
        <is>
          <t>Paquita Salas</t>
        </is>
      </c>
      <c r="C88" t="inlineStr">
        <is>
          <t>2016–act.</t>
        </is>
      </c>
      <c r="D88" t="inlineStr">
        <is>
          <t>Serie</t>
        </is>
      </c>
      <c r="E88" t="inlineStr">
        <is>
          <t>España</t>
        </is>
      </c>
      <c r="F88" t="inlineStr"/>
      <c r="G88" s="5" t="n">
        <v>6.9</v>
      </c>
    </row>
    <row r="89">
      <c r="A89" t="inlineStr">
        <is>
          <t>s0088</t>
        </is>
      </c>
      <c r="B89" t="inlineStr">
        <is>
          <t>El asombroso mundo de Gumball</t>
        </is>
      </c>
      <c r="C89" t="inlineStr">
        <is>
          <t>2011–act.</t>
        </is>
      </c>
      <c r="D89" t="inlineStr">
        <is>
          <t>Serie</t>
        </is>
      </c>
      <c r="E89" t="inlineStr">
        <is>
          <t>Estados Unidos</t>
        </is>
      </c>
      <c r="F89" t="inlineStr">
        <is>
          <t>Sí</t>
        </is>
      </c>
      <c r="G89" s="5" t="n">
        <v>6.9</v>
      </c>
    </row>
    <row r="90">
      <c r="A90" t="inlineStr">
        <is>
          <t>s0089</t>
        </is>
      </c>
      <c r="B90" t="inlineStr">
        <is>
          <t>Star Wars: The Clone Wars</t>
        </is>
      </c>
      <c r="C90" t="inlineStr">
        <is>
          <t>2008–2013</t>
        </is>
      </c>
      <c r="D90" t="inlineStr">
        <is>
          <t>Serie</t>
        </is>
      </c>
      <c r="E90" t="inlineStr">
        <is>
          <t>Estados Unidos</t>
        </is>
      </c>
      <c r="F90" t="inlineStr">
        <is>
          <t>Sí</t>
        </is>
      </c>
      <c r="G90" s="5" t="n">
        <v>6.9</v>
      </c>
    </row>
    <row r="91">
      <c r="A91" t="inlineStr">
        <is>
          <t>s0090</t>
        </is>
      </c>
      <c r="B91" t="inlineStr">
        <is>
          <t>Cálico Electrónico</t>
        </is>
      </c>
      <c r="C91" t="inlineStr">
        <is>
          <t>2004–2015</t>
        </is>
      </c>
      <c r="D91" t="inlineStr">
        <is>
          <t>Serie</t>
        </is>
      </c>
      <c r="E91" t="inlineStr">
        <is>
          <t>España</t>
        </is>
      </c>
      <c r="F91" t="inlineStr">
        <is>
          <t>Sí</t>
        </is>
      </c>
      <c r="G91" s="5" t="n">
        <v>6.9</v>
      </c>
    </row>
    <row r="92">
      <c r="A92" t="inlineStr">
        <is>
          <t>s0091</t>
        </is>
      </c>
      <c r="B92" t="inlineStr">
        <is>
          <t>Bobobo</t>
        </is>
      </c>
      <c r="C92" t="inlineStr">
        <is>
          <t>2003–2005</t>
        </is>
      </c>
      <c r="D92" t="inlineStr">
        <is>
          <t>Serie</t>
        </is>
      </c>
      <c r="E92" t="inlineStr">
        <is>
          <t>Japón</t>
        </is>
      </c>
      <c r="F92" t="inlineStr">
        <is>
          <t>Sí</t>
        </is>
      </c>
      <c r="G92" s="5" t="n">
        <v>6.9</v>
      </c>
    </row>
    <row r="93">
      <c r="A93" t="inlineStr">
        <is>
          <t>s0092</t>
        </is>
      </c>
      <c r="B93" t="inlineStr">
        <is>
          <t>Califato</t>
        </is>
      </c>
      <c r="C93" t="inlineStr">
        <is>
          <t>2020</t>
        </is>
      </c>
      <c r="D93" t="inlineStr">
        <is>
          <t>Serie</t>
        </is>
      </c>
      <c r="E93" t="inlineStr">
        <is>
          <t>Suecia</t>
        </is>
      </c>
      <c r="F93" t="inlineStr"/>
      <c r="G93" s="5" t="n">
        <v>6.9</v>
      </c>
    </row>
    <row r="94">
      <c r="A94" t="inlineStr">
        <is>
          <t>s0093</t>
        </is>
      </c>
      <c r="B94" t="inlineStr">
        <is>
          <t>The Last Of Us</t>
        </is>
      </c>
      <c r="C94" t="inlineStr">
        <is>
          <t>2022</t>
        </is>
      </c>
      <c r="D94" t="inlineStr">
        <is>
          <t>Serie</t>
        </is>
      </c>
      <c r="E94" t="inlineStr">
        <is>
          <t>Estados Unidos</t>
        </is>
      </c>
      <c r="F94" t="inlineStr"/>
      <c r="G94" s="5" t="n">
        <v>6.8</v>
      </c>
    </row>
    <row r="95">
      <c r="A95" t="inlineStr">
        <is>
          <t>s0094</t>
        </is>
      </c>
      <c r="B95" t="inlineStr">
        <is>
          <t>La casa de papel</t>
        </is>
      </c>
      <c r="C95" t="inlineStr">
        <is>
          <t>2017–2021</t>
        </is>
      </c>
      <c r="D95" t="inlineStr">
        <is>
          <t>Serie</t>
        </is>
      </c>
      <c r="E95" t="inlineStr">
        <is>
          <t>España</t>
        </is>
      </c>
      <c r="F95" t="inlineStr"/>
      <c r="G95" s="5" t="n">
        <v>6.8</v>
      </c>
    </row>
    <row r="96">
      <c r="A96" t="inlineStr">
        <is>
          <t>s0095</t>
        </is>
      </c>
      <c r="B96" t="inlineStr">
        <is>
          <t>Loki</t>
        </is>
      </c>
      <c r="C96" t="inlineStr">
        <is>
          <t>2021–act.</t>
        </is>
      </c>
      <c r="D96" t="inlineStr">
        <is>
          <t>Serie</t>
        </is>
      </c>
      <c r="E96" t="inlineStr">
        <is>
          <t>Estados Unidos</t>
        </is>
      </c>
      <c r="F96" t="inlineStr"/>
      <c r="G96" s="5" t="n">
        <v>6.7</v>
      </c>
    </row>
    <row r="97">
      <c r="A97" t="inlineStr">
        <is>
          <t>s0096</t>
        </is>
      </c>
      <c r="B97" t="inlineStr">
        <is>
          <t>Los Misterios de Laura</t>
        </is>
      </c>
      <c r="C97" t="inlineStr">
        <is>
          <t>2009–2014</t>
        </is>
      </c>
      <c r="D97" t="inlineStr">
        <is>
          <t>Serie</t>
        </is>
      </c>
      <c r="E97" t="inlineStr">
        <is>
          <t>España</t>
        </is>
      </c>
      <c r="F97" t="inlineStr"/>
      <c r="G97" s="5" t="n">
        <v>6.7</v>
      </c>
    </row>
    <row r="98">
      <c r="A98" t="inlineStr">
        <is>
          <t>s0097</t>
        </is>
      </c>
      <c r="B98" t="inlineStr">
        <is>
          <t>Vaya semanita</t>
        </is>
      </c>
      <c r="C98" t="inlineStr">
        <is>
          <t>2003–act.</t>
        </is>
      </c>
      <c r="D98" t="inlineStr">
        <is>
          <t>Serie</t>
        </is>
      </c>
      <c r="E98" t="inlineStr">
        <is>
          <t>España</t>
        </is>
      </c>
      <c r="F98" t="inlineStr"/>
      <c r="G98" s="5" t="n">
        <v>6.7</v>
      </c>
    </row>
    <row r="99">
      <c r="A99" t="inlineStr">
        <is>
          <t>s0098</t>
        </is>
      </c>
      <c r="B99" t="inlineStr">
        <is>
          <t>Historias corrientes</t>
        </is>
      </c>
      <c r="C99" t="inlineStr">
        <is>
          <t>2010–2017</t>
        </is>
      </c>
      <c r="D99" t="inlineStr">
        <is>
          <t>Serie</t>
        </is>
      </c>
      <c r="E99" t="inlineStr">
        <is>
          <t>Estados Unidos</t>
        </is>
      </c>
      <c r="F99" t="inlineStr">
        <is>
          <t>Sí</t>
        </is>
      </c>
      <c r="G99" s="5" t="n">
        <v>6.6</v>
      </c>
    </row>
    <row r="100">
      <c r="A100" t="inlineStr">
        <is>
          <t>s0099</t>
        </is>
      </c>
      <c r="B100" t="inlineStr">
        <is>
          <t>Flapjack</t>
        </is>
      </c>
      <c r="C100" t="inlineStr">
        <is>
          <t>2008–2010</t>
        </is>
      </c>
      <c r="D100" t="inlineStr">
        <is>
          <t>Serie</t>
        </is>
      </c>
      <c r="E100" t="inlineStr">
        <is>
          <t>Estados Unidos</t>
        </is>
      </c>
      <c r="F100" t="inlineStr">
        <is>
          <t>Sí</t>
        </is>
      </c>
      <c r="G100" s="5" t="n">
        <v>6.6</v>
      </c>
    </row>
    <row r="101">
      <c r="A101" t="inlineStr">
        <is>
          <t>s0100</t>
        </is>
      </c>
      <c r="B101" t="inlineStr">
        <is>
          <t>Camera Café</t>
        </is>
      </c>
      <c r="C101" t="inlineStr">
        <is>
          <t>2005–2009</t>
        </is>
      </c>
      <c r="D101" t="inlineStr">
        <is>
          <t>Serie</t>
        </is>
      </c>
      <c r="E101" t="inlineStr">
        <is>
          <t>España</t>
        </is>
      </c>
      <c r="F101" t="inlineStr"/>
      <c r="G101" s="5" t="n">
        <v>6.6</v>
      </c>
    </row>
    <row r="102">
      <c r="A102" t="inlineStr">
        <is>
          <t>s0101</t>
        </is>
      </c>
      <c r="B102" t="inlineStr">
        <is>
          <t>Jujutsu Kaisen</t>
        </is>
      </c>
      <c r="C102" t="inlineStr">
        <is>
          <t>2020–2026</t>
        </is>
      </c>
      <c r="D102" t="inlineStr">
        <is>
          <t>Serie</t>
        </is>
      </c>
      <c r="E102" t="inlineStr">
        <is>
          <t>Japón</t>
        </is>
      </c>
      <c r="F102" t="inlineStr">
        <is>
          <t>Sí</t>
        </is>
      </c>
      <c r="G102" s="5" t="n">
        <v>6.6</v>
      </c>
    </row>
    <row r="103">
      <c r="A103" t="inlineStr">
        <is>
          <t>s0102</t>
        </is>
      </c>
      <c r="B103" t="inlineStr">
        <is>
          <t>Teen Titans</t>
        </is>
      </c>
      <c r="C103" t="inlineStr">
        <is>
          <t>2003–2006</t>
        </is>
      </c>
      <c r="D103" t="inlineStr">
        <is>
          <t>Serie</t>
        </is>
      </c>
      <c r="E103" t="inlineStr">
        <is>
          <t>Estados Unidos</t>
        </is>
      </c>
      <c r="F103" t="inlineStr">
        <is>
          <t>Sí</t>
        </is>
      </c>
      <c r="G103" s="5" t="n">
        <v>6.6</v>
      </c>
    </row>
    <row r="104">
      <c r="A104" t="inlineStr">
        <is>
          <t>s0103</t>
        </is>
      </c>
      <c r="B104" t="inlineStr">
        <is>
          <t>Pokémon</t>
        </is>
      </c>
      <c r="C104" t="inlineStr">
        <is>
          <t>1997–act.</t>
        </is>
      </c>
      <c r="D104" t="inlineStr">
        <is>
          <t>Serie</t>
        </is>
      </c>
      <c r="E104" t="inlineStr">
        <is>
          <t>Japón</t>
        </is>
      </c>
      <c r="F104" t="inlineStr">
        <is>
          <t>Sí</t>
        </is>
      </c>
      <c r="G104" s="5" t="n">
        <v>6.6</v>
      </c>
    </row>
    <row r="105">
      <c r="A105" t="inlineStr">
        <is>
          <t>s0104</t>
        </is>
      </c>
      <c r="B105" t="inlineStr">
        <is>
          <t>Los Serrano</t>
        </is>
      </c>
      <c r="C105" t="inlineStr">
        <is>
          <t>2003–2008</t>
        </is>
      </c>
      <c r="D105" t="inlineStr">
        <is>
          <t>Serie</t>
        </is>
      </c>
      <c r="E105" t="inlineStr">
        <is>
          <t>España</t>
        </is>
      </c>
      <c r="F105" t="inlineStr"/>
      <c r="G105" s="5" t="n">
        <v>6.5</v>
      </c>
    </row>
    <row r="106">
      <c r="A106" t="inlineStr">
        <is>
          <t>s0105</t>
        </is>
      </c>
      <c r="B106" t="inlineStr">
        <is>
          <t>Qué vida más triste</t>
        </is>
      </c>
      <c r="C106" t="inlineStr">
        <is>
          <t>2008–2010</t>
        </is>
      </c>
      <c r="D106" t="inlineStr">
        <is>
          <t>Serie</t>
        </is>
      </c>
      <c r="E106" t="inlineStr">
        <is>
          <t>España</t>
        </is>
      </c>
      <c r="F106" t="inlineStr"/>
      <c r="G106" s="5" t="n">
        <v>6.4</v>
      </c>
    </row>
    <row r="107">
      <c r="A107" t="inlineStr">
        <is>
          <t>s0106</t>
        </is>
      </c>
      <c r="B107" t="inlineStr">
        <is>
          <t>Me llamo Earl</t>
        </is>
      </c>
      <c r="C107" t="inlineStr">
        <is>
          <t>2005–2009</t>
        </is>
      </c>
      <c r="D107" t="inlineStr">
        <is>
          <t>Serie</t>
        </is>
      </c>
      <c r="E107" t="inlineStr">
        <is>
          <t>Estados Unidos</t>
        </is>
      </c>
      <c r="F107" t="inlineStr"/>
      <c r="G107" s="5" t="n">
        <v>6.4</v>
      </c>
    </row>
    <row r="108">
      <c r="A108" t="inlineStr">
        <is>
          <t>s0107</t>
        </is>
      </c>
      <c r="B108" t="inlineStr">
        <is>
          <t>Dragon Ball GT</t>
        </is>
      </c>
      <c r="C108" t="inlineStr">
        <is>
          <t>1996–1997</t>
        </is>
      </c>
      <c r="D108" t="inlineStr">
        <is>
          <t>Serie</t>
        </is>
      </c>
      <c r="E108" t="inlineStr">
        <is>
          <t>Japón</t>
        </is>
      </c>
      <c r="F108" t="inlineStr">
        <is>
          <t>Sí</t>
        </is>
      </c>
      <c r="G108" s="5" t="n">
        <v>6.4</v>
      </c>
    </row>
    <row r="109">
      <c r="A109" t="inlineStr">
        <is>
          <t>s0108</t>
        </is>
      </c>
      <c r="B109" t="inlineStr">
        <is>
          <t>Los protegidos</t>
        </is>
      </c>
      <c r="C109" t="inlineStr">
        <is>
          <t>2010–2012</t>
        </is>
      </c>
      <c r="D109" t="inlineStr">
        <is>
          <t>Serie</t>
        </is>
      </c>
      <c r="E109" t="inlineStr">
        <is>
          <t>España</t>
        </is>
      </c>
      <c r="F109" t="inlineStr"/>
      <c r="G109" s="5" t="n">
        <v>6.3</v>
      </c>
    </row>
    <row r="110">
      <c r="A110" t="inlineStr">
        <is>
          <t>s0109</t>
        </is>
      </c>
      <c r="B110" t="inlineStr">
        <is>
          <t>Dragon Ball Super</t>
        </is>
      </c>
      <c r="C110" t="inlineStr">
        <is>
          <t>2015–2018</t>
        </is>
      </c>
      <c r="D110" t="inlineStr">
        <is>
          <t>Serie</t>
        </is>
      </c>
      <c r="E110" t="inlineStr">
        <is>
          <t>Japón</t>
        </is>
      </c>
      <c r="F110" t="inlineStr">
        <is>
          <t>Sí</t>
        </is>
      </c>
      <c r="G110" s="5" t="n">
        <v>6.2</v>
      </c>
    </row>
    <row r="111">
      <c r="A111" t="inlineStr">
        <is>
          <t>s0110</t>
        </is>
      </c>
      <c r="B111" t="inlineStr">
        <is>
          <t>¿Qué pasaría si...?</t>
        </is>
      </c>
      <c r="C111" t="inlineStr">
        <is>
          <t>2021</t>
        </is>
      </c>
      <c r="D111" t="inlineStr">
        <is>
          <t>Serie</t>
        </is>
      </c>
      <c r="E111" t="inlineStr">
        <is>
          <t>Estados Unidos</t>
        </is>
      </c>
      <c r="F111" t="inlineStr">
        <is>
          <t>Sí</t>
        </is>
      </c>
      <c r="G111" s="5" t="n">
        <v>6.2</v>
      </c>
    </row>
    <row r="112">
      <c r="A112" t="inlineStr">
        <is>
          <t>s0111</t>
        </is>
      </c>
      <c r="B112" t="inlineStr">
        <is>
          <t>Fernando</t>
        </is>
      </c>
      <c r="C112" t="inlineStr">
        <is>
          <t>2020–2021</t>
        </is>
      </c>
      <c r="D112" t="inlineStr">
        <is>
          <t>Serie</t>
        </is>
      </c>
      <c r="E112" t="inlineStr">
        <is>
          <t>España</t>
        </is>
      </c>
      <c r="F112" t="inlineStr"/>
      <c r="G112" s="5" t="n">
        <v>6.1</v>
      </c>
    </row>
    <row r="113">
      <c r="A113" t="inlineStr">
        <is>
          <t>s0112</t>
        </is>
      </c>
      <c r="B113" t="inlineStr">
        <is>
          <t>Las Supernenas</t>
        </is>
      </c>
      <c r="C113" t="inlineStr">
        <is>
          <t>1998–2005</t>
        </is>
      </c>
      <c r="D113" t="inlineStr">
        <is>
          <t>Serie</t>
        </is>
      </c>
      <c r="E113" t="inlineStr">
        <is>
          <t>Estados Unidos</t>
        </is>
      </c>
      <c r="F113" t="inlineStr">
        <is>
          <t>Sí</t>
        </is>
      </c>
      <c r="G113" s="5" t="n">
        <v>6.1</v>
      </c>
    </row>
    <row r="114">
      <c r="A114" t="inlineStr">
        <is>
          <t>s0113</t>
        </is>
      </c>
      <c r="B114" t="inlineStr">
        <is>
          <t>La que se avecina</t>
        </is>
      </c>
      <c r="C114" t="inlineStr">
        <is>
          <t>2007–act.</t>
        </is>
      </c>
      <c r="D114" t="inlineStr">
        <is>
          <t>Serie</t>
        </is>
      </c>
      <c r="E114" t="inlineStr">
        <is>
          <t>España</t>
        </is>
      </c>
      <c r="F114" t="inlineStr"/>
      <c r="G114" s="5" t="n">
        <v>6</v>
      </c>
    </row>
    <row r="115">
      <c r="A115" t="inlineStr">
        <is>
          <t>s0114</t>
        </is>
      </c>
      <c r="B115" t="inlineStr">
        <is>
          <t>Bob Esponja</t>
        </is>
      </c>
      <c r="C115" t="inlineStr">
        <is>
          <t>1999–act.</t>
        </is>
      </c>
      <c r="D115" t="inlineStr">
        <is>
          <t>Serie</t>
        </is>
      </c>
      <c r="E115" t="inlineStr">
        <is>
          <t>Estados Unidos</t>
        </is>
      </c>
      <c r="F115" t="inlineStr">
        <is>
          <t>Sí</t>
        </is>
      </c>
      <c r="G115" s="5" t="n">
        <v>6</v>
      </c>
    </row>
    <row r="116">
      <c r="A116" t="inlineStr">
        <is>
          <t>s0115</t>
        </is>
      </c>
      <c r="B116" t="inlineStr">
        <is>
          <t>Los Picapiedra</t>
        </is>
      </c>
      <c r="C116" t="inlineStr">
        <is>
          <t>1960–1966</t>
        </is>
      </c>
      <c r="D116" t="inlineStr">
        <is>
          <t>Serie</t>
        </is>
      </c>
      <c r="E116" t="inlineStr">
        <is>
          <t>Estados Unidos</t>
        </is>
      </c>
      <c r="F116" t="inlineStr">
        <is>
          <t>Sí</t>
        </is>
      </c>
      <c r="G116" s="5" t="n">
        <v>6</v>
      </c>
    </row>
    <row r="117">
      <c r="A117" t="inlineStr">
        <is>
          <t>s0116</t>
        </is>
      </c>
      <c r="B117" t="inlineStr">
        <is>
          <t>Ben 10</t>
        </is>
      </c>
      <c r="C117" t="inlineStr">
        <is>
          <t>2005–2008</t>
        </is>
      </c>
      <c r="D117" t="inlineStr">
        <is>
          <t>Serie</t>
        </is>
      </c>
      <c r="E117" t="inlineStr">
        <is>
          <t>Estados Unidos</t>
        </is>
      </c>
      <c r="F117" t="inlineStr">
        <is>
          <t>Sí</t>
        </is>
      </c>
      <c r="G117" s="5" t="n">
        <v>5.9</v>
      </c>
    </row>
    <row r="118">
      <c r="A118" t="inlineStr">
        <is>
          <t>s0117</t>
        </is>
      </c>
      <c r="B118" t="inlineStr">
        <is>
          <t>Sargento Keroro</t>
        </is>
      </c>
      <c r="C118" t="inlineStr">
        <is>
          <t>2004–2011</t>
        </is>
      </c>
      <c r="D118" t="inlineStr">
        <is>
          <t>Serie</t>
        </is>
      </c>
      <c r="E118" t="inlineStr">
        <is>
          <t>Japón</t>
        </is>
      </c>
      <c r="F118" t="inlineStr">
        <is>
          <t>Sí</t>
        </is>
      </c>
      <c r="G118" s="5" t="n">
        <v>5.9</v>
      </c>
    </row>
    <row r="119">
      <c r="A119" t="inlineStr">
        <is>
          <t>s0118</t>
        </is>
      </c>
      <c r="B119" t="inlineStr">
        <is>
          <t>Foster, la casa de los amigos imaginarios</t>
        </is>
      </c>
      <c r="C119" t="inlineStr">
        <is>
          <t>2004–2009</t>
        </is>
      </c>
      <c r="D119" t="inlineStr">
        <is>
          <t>Serie</t>
        </is>
      </c>
      <c r="E119" t="inlineStr">
        <is>
          <t>Estados Unidos</t>
        </is>
      </c>
      <c r="F119" t="inlineStr">
        <is>
          <t>Sí</t>
        </is>
      </c>
      <c r="G119" s="5" t="n">
        <v>5.9</v>
      </c>
    </row>
    <row r="120">
      <c r="A120" t="inlineStr">
        <is>
          <t>s0119</t>
        </is>
      </c>
      <c r="B120" t="inlineStr">
        <is>
          <t>Vaca y Pollo</t>
        </is>
      </c>
      <c r="C120" t="inlineStr">
        <is>
          <t>1997–1999</t>
        </is>
      </c>
      <c r="D120" t="inlineStr">
        <is>
          <t>Serie</t>
        </is>
      </c>
      <c r="E120" t="inlineStr">
        <is>
          <t>Estados Unidos</t>
        </is>
      </c>
      <c r="F120" t="inlineStr">
        <is>
          <t>Sí</t>
        </is>
      </c>
      <c r="G120" s="5" t="n">
        <v>5.9</v>
      </c>
    </row>
    <row r="121">
      <c r="A121" t="inlineStr">
        <is>
          <t>s0120</t>
        </is>
      </c>
      <c r="B121" t="inlineStr">
        <is>
          <t>Mirmo</t>
        </is>
      </c>
      <c r="C121" t="inlineStr">
        <is>
          <t>2002–2005</t>
        </is>
      </c>
      <c r="D121" t="inlineStr">
        <is>
          <t>Serie</t>
        </is>
      </c>
      <c r="E121" t="inlineStr">
        <is>
          <t>Japón</t>
        </is>
      </c>
      <c r="F121" t="inlineStr">
        <is>
          <t>Sí</t>
        </is>
      </c>
      <c r="G121" s="5" t="n">
        <v>5.8</v>
      </c>
    </row>
    <row r="122">
      <c r="A122" t="inlineStr">
        <is>
          <t>s0121</t>
        </is>
      </c>
      <c r="B122" t="inlineStr">
        <is>
          <t>Invasión Secreta</t>
        </is>
      </c>
      <c r="C122" t="inlineStr">
        <is>
          <t>2023</t>
        </is>
      </c>
      <c r="D122" t="inlineStr">
        <is>
          <t>Serie</t>
        </is>
      </c>
      <c r="E122" t="inlineStr">
        <is>
          <t>Estados Unidos</t>
        </is>
      </c>
      <c r="F122" t="inlineStr"/>
      <c r="G122" s="5" t="n">
        <v>5.8</v>
      </c>
    </row>
    <row r="123">
      <c r="A123" t="inlineStr">
        <is>
          <t>s0122</t>
        </is>
      </c>
      <c r="B123" t="inlineStr">
        <is>
          <t>Hawkeye</t>
        </is>
      </c>
      <c r="C123" t="inlineStr">
        <is>
          <t>2021</t>
        </is>
      </c>
      <c r="D123" t="inlineStr">
        <is>
          <t>Serie</t>
        </is>
      </c>
      <c r="E123" t="inlineStr">
        <is>
          <t>Estados Unidos</t>
        </is>
      </c>
      <c r="F123" t="inlineStr"/>
      <c r="G123" s="5" t="n">
        <v>5.8</v>
      </c>
    </row>
    <row r="124">
      <c r="A124" t="inlineStr">
        <is>
          <t>s0123</t>
        </is>
      </c>
      <c r="B124" t="inlineStr">
        <is>
          <t>El laboratorio de Dexter</t>
        </is>
      </c>
      <c r="C124" t="inlineStr">
        <is>
          <t>1996–2003</t>
        </is>
      </c>
      <c r="D124" t="inlineStr">
        <is>
          <t>Serie</t>
        </is>
      </c>
      <c r="E124" t="inlineStr">
        <is>
          <t>Estados Unidos</t>
        </is>
      </c>
      <c r="F124" t="inlineStr">
        <is>
          <t>Sí</t>
        </is>
      </c>
      <c r="G124" s="5" t="n">
        <v>5.8</v>
      </c>
    </row>
    <row r="125">
      <c r="A125" t="inlineStr">
        <is>
          <t>s0124</t>
        </is>
      </c>
      <c r="B125" t="inlineStr">
        <is>
          <t>Drake y Josh</t>
        </is>
      </c>
      <c r="C125" t="inlineStr">
        <is>
          <t>2004–2007</t>
        </is>
      </c>
      <c r="D125" t="inlineStr">
        <is>
          <t>Serie</t>
        </is>
      </c>
      <c r="E125" t="inlineStr">
        <is>
          <t>Estados Unidos</t>
        </is>
      </c>
      <c r="F125" t="inlineStr"/>
      <c r="G125" s="5" t="n">
        <v>5.6</v>
      </c>
    </row>
    <row r="126">
      <c r="A126" t="inlineStr">
        <is>
          <t>s0125</t>
        </is>
      </c>
      <c r="B126" t="inlineStr">
        <is>
          <t>Big Bang</t>
        </is>
      </c>
      <c r="C126" t="inlineStr">
        <is>
          <t>2007–2019</t>
        </is>
      </c>
      <c r="D126" t="inlineStr">
        <is>
          <t>Serie</t>
        </is>
      </c>
      <c r="E126" t="inlineStr">
        <is>
          <t>Estados Unidos</t>
        </is>
      </c>
      <c r="F126" t="inlineStr"/>
      <c r="G126" s="5" t="n">
        <v>5.4</v>
      </c>
    </row>
    <row r="127">
      <c r="A127" t="inlineStr">
        <is>
          <t>s0126</t>
        </is>
      </c>
      <c r="B127" t="inlineStr">
        <is>
          <t>Los hombres de Paco</t>
        </is>
      </c>
      <c r="C127" t="inlineStr">
        <is>
          <t>2005–2010</t>
        </is>
      </c>
      <c r="D127" t="inlineStr">
        <is>
          <t>Serie</t>
        </is>
      </c>
      <c r="E127" t="inlineStr">
        <is>
          <t>España</t>
        </is>
      </c>
      <c r="F127" t="inlineStr"/>
      <c r="G127" s="5" t="n">
        <v>5.4</v>
      </c>
    </row>
    <row r="128">
      <c r="A128" t="inlineStr">
        <is>
          <t>s0127</t>
        </is>
      </c>
      <c r="B128" t="inlineStr">
        <is>
          <t>Zoey 101</t>
        </is>
      </c>
      <c r="C128" t="inlineStr">
        <is>
          <t>2005–2008</t>
        </is>
      </c>
      <c r="D128" t="inlineStr">
        <is>
          <t>Serie</t>
        </is>
      </c>
      <c r="E128" t="inlineStr">
        <is>
          <t>Estados Unidos</t>
        </is>
      </c>
      <c r="F128" t="inlineStr"/>
      <c r="G128" s="5" t="n">
        <v>5.4</v>
      </c>
    </row>
    <row r="129">
      <c r="A129" t="inlineStr">
        <is>
          <t>s0128</t>
        </is>
      </c>
      <c r="B129" t="inlineStr">
        <is>
          <t>Manual de Supervivencia escolar de Ned</t>
        </is>
      </c>
      <c r="C129" t="inlineStr">
        <is>
          <t>2004</t>
        </is>
      </c>
      <c r="D129" t="inlineStr">
        <is>
          <t>Serie</t>
        </is>
      </c>
      <c r="E129" t="inlineStr">
        <is>
          <t>Estados Unidos</t>
        </is>
      </c>
      <c r="F129" t="inlineStr"/>
      <c r="G129" s="5" t="n">
        <v>5.4</v>
      </c>
    </row>
    <row r="130">
      <c r="A130" t="inlineStr">
        <is>
          <t>s0129</t>
        </is>
      </c>
      <c r="B130" t="inlineStr">
        <is>
          <t>Código Lyoko</t>
        </is>
      </c>
      <c r="C130" t="inlineStr">
        <is>
          <t>2003–2007</t>
        </is>
      </c>
      <c r="D130" t="inlineStr">
        <is>
          <t>Serie</t>
        </is>
      </c>
      <c r="E130" t="inlineStr">
        <is>
          <t>Francia</t>
        </is>
      </c>
      <c r="F130" t="inlineStr">
        <is>
          <t>Sí</t>
        </is>
      </c>
      <c r="G130" s="5" t="n">
        <v>5.3</v>
      </c>
    </row>
    <row r="131">
      <c r="A131" t="inlineStr">
        <is>
          <t>s0130</t>
        </is>
      </c>
      <c r="B131" t="inlineStr">
        <is>
          <t>Johnny Bravo</t>
        </is>
      </c>
      <c r="C131" t="inlineStr">
        <is>
          <t>1997–2003</t>
        </is>
      </c>
      <c r="D131" t="inlineStr">
        <is>
          <t>Serie</t>
        </is>
      </c>
      <c r="E131" t="inlineStr">
        <is>
          <t>Estados Unidos</t>
        </is>
      </c>
      <c r="F131" t="inlineStr">
        <is>
          <t>Sí</t>
        </is>
      </c>
      <c r="G131" s="5" t="n">
        <v>5.3</v>
      </c>
    </row>
    <row r="132">
      <c r="A132" t="inlineStr">
        <is>
          <t>s0131</t>
        </is>
      </c>
      <c r="B132" t="inlineStr">
        <is>
          <t>Chowder</t>
        </is>
      </c>
      <c r="C132" t="inlineStr">
        <is>
          <t>2007–2010</t>
        </is>
      </c>
      <c r="D132" t="inlineStr">
        <is>
          <t>Serie</t>
        </is>
      </c>
      <c r="E132" t="inlineStr">
        <is>
          <t>Estados Unidos</t>
        </is>
      </c>
      <c r="F132" t="inlineStr">
        <is>
          <t>Sí</t>
        </is>
      </c>
      <c r="G132" s="5" t="n">
        <v>5.2</v>
      </c>
    </row>
    <row r="133">
      <c r="A133" t="inlineStr">
        <is>
          <t>s0132</t>
        </is>
      </c>
      <c r="B133" t="inlineStr">
        <is>
          <t>She-Hulk</t>
        </is>
      </c>
      <c r="C133" t="inlineStr">
        <is>
          <t>2022</t>
        </is>
      </c>
      <c r="D133" t="inlineStr">
        <is>
          <t>Serie</t>
        </is>
      </c>
      <c r="E133" t="inlineStr">
        <is>
          <t>Estados Unidos</t>
        </is>
      </c>
      <c r="F133" t="inlineStr"/>
      <c r="G133" s="5" t="n">
        <v>5.2</v>
      </c>
    </row>
    <row r="134">
      <c r="A134" t="inlineStr">
        <is>
          <t>s0133</t>
        </is>
      </c>
      <c r="B134" t="inlineStr">
        <is>
          <t>Titeuf</t>
        </is>
      </c>
      <c r="C134" t="inlineStr">
        <is>
          <t>2001</t>
        </is>
      </c>
      <c r="D134" t="inlineStr">
        <is>
          <t>Serie</t>
        </is>
      </c>
      <c r="E134" t="inlineStr">
        <is>
          <t>Francia</t>
        </is>
      </c>
      <c r="F134" t="inlineStr">
        <is>
          <t>Sí</t>
        </is>
      </c>
      <c r="G134" s="5" t="n">
        <v>5.2</v>
      </c>
    </row>
    <row r="135">
      <c r="A135" t="inlineStr">
        <is>
          <t>s0134</t>
        </is>
      </c>
      <c r="B135" t="inlineStr">
        <is>
          <t>Todos mienten</t>
        </is>
      </c>
      <c r="C135" t="inlineStr">
        <is>
          <t>2022–act.</t>
        </is>
      </c>
      <c r="D135" t="inlineStr">
        <is>
          <t>Serie</t>
        </is>
      </c>
      <c r="E135" t="inlineStr">
        <is>
          <t>España</t>
        </is>
      </c>
      <c r="F135" t="inlineStr"/>
      <c r="G135" s="5" t="n">
        <v>5.1</v>
      </c>
    </row>
    <row r="136">
      <c r="A136" t="inlineStr">
        <is>
          <t>s0135</t>
        </is>
      </c>
      <c r="B136" t="inlineStr">
        <is>
          <t>Victorious</t>
        </is>
      </c>
      <c r="C136" t="inlineStr">
        <is>
          <t>2010–2013</t>
        </is>
      </c>
      <c r="D136" t="inlineStr">
        <is>
          <t>Serie</t>
        </is>
      </c>
      <c r="E136" t="inlineStr">
        <is>
          <t>Estados Unidos</t>
        </is>
      </c>
      <c r="F136" t="inlineStr"/>
      <c r="G136" s="5" t="n">
        <v>5.1</v>
      </c>
    </row>
    <row r="137">
      <c r="A137" t="inlineStr">
        <is>
          <t>s0136</t>
        </is>
      </c>
      <c r="B137" t="inlineStr">
        <is>
          <t>iCarly</t>
        </is>
      </c>
      <c r="C137" t="inlineStr">
        <is>
          <t>2007–2012</t>
        </is>
      </c>
      <c r="D137" t="inlineStr">
        <is>
          <t>Serie</t>
        </is>
      </c>
      <c r="E137" t="inlineStr">
        <is>
          <t>Estados Unidos</t>
        </is>
      </c>
      <c r="F137" t="inlineStr"/>
      <c r="G137" s="5" t="n">
        <v>5</v>
      </c>
    </row>
    <row r="138">
      <c r="A138" t="inlineStr">
        <is>
          <t>s0137</t>
        </is>
      </c>
      <c r="B138" t="inlineStr">
        <is>
          <t>Phineas Y Ferb</t>
        </is>
      </c>
      <c r="C138" t="inlineStr">
        <is>
          <t>2007–2015</t>
        </is>
      </c>
      <c r="D138" t="inlineStr">
        <is>
          <t>Serie</t>
        </is>
      </c>
      <c r="E138" t="inlineStr">
        <is>
          <t>Estados Unidos</t>
        </is>
      </c>
      <c r="F138" t="inlineStr">
        <is>
          <t>Sí</t>
        </is>
      </c>
      <c r="G138" s="5" t="n">
        <v>4.6</v>
      </c>
    </row>
    <row r="139">
      <c r="A139" t="inlineStr">
        <is>
          <t>s0138</t>
        </is>
      </c>
      <c r="B139" t="inlineStr">
        <is>
          <t>Martín Matín</t>
        </is>
      </c>
      <c r="C139" t="inlineStr">
        <is>
          <t>2003</t>
        </is>
      </c>
      <c r="D139" t="inlineStr">
        <is>
          <t>Serie</t>
        </is>
      </c>
      <c r="E139" t="inlineStr">
        <is>
          <t>Francia</t>
        </is>
      </c>
      <c r="F139" t="inlineStr">
        <is>
          <t>Sí</t>
        </is>
      </c>
      <c r="G139" s="5" t="n">
        <v>4.3</v>
      </c>
    </row>
    <row r="140">
      <c r="A140" t="inlineStr">
        <is>
          <t>s0139</t>
        </is>
      </c>
      <c r="B140" t="inlineStr">
        <is>
          <t>Campamento Lazlo</t>
        </is>
      </c>
      <c r="C140" t="inlineStr">
        <is>
          <t>2005–2008</t>
        </is>
      </c>
      <c r="D140" t="inlineStr">
        <is>
          <t>Serie</t>
        </is>
      </c>
      <c r="E140" t="inlineStr">
        <is>
          <t>Estados Unidos</t>
        </is>
      </c>
      <c r="F140" t="inlineStr">
        <is>
          <t>Sí</t>
        </is>
      </c>
      <c r="G140" s="5" t="n">
        <v>4.1</v>
      </c>
    </row>
    <row r="141">
      <c r="A141" t="inlineStr">
        <is>
          <t>s0140</t>
        </is>
      </c>
      <c r="B141" t="inlineStr">
        <is>
          <t>Gormiti</t>
        </is>
      </c>
      <c r="C141" t="inlineStr">
        <is>
          <t>2008–2010</t>
        </is>
      </c>
      <c r="D141" t="inlineStr">
        <is>
          <t>Serie</t>
        </is>
      </c>
      <c r="E141" t="inlineStr">
        <is>
          <t>Italia</t>
        </is>
      </c>
      <c r="F141" t="inlineStr">
        <is>
          <t>Sí</t>
        </is>
      </c>
      <c r="G141" s="5" t="n">
        <v>4</v>
      </c>
    </row>
    <row r="142">
      <c r="A142" t="inlineStr">
        <is>
          <t>s0141</t>
        </is>
      </c>
      <c r="B142" t="inlineStr">
        <is>
          <t>Bakugan</t>
        </is>
      </c>
      <c r="C142" t="inlineStr">
        <is>
          <t>2007–2010</t>
        </is>
      </c>
      <c r="D142" t="inlineStr">
        <is>
          <t>Serie</t>
        </is>
      </c>
      <c r="E142" t="inlineStr">
        <is>
          <t>Japón</t>
        </is>
      </c>
      <c r="F142" t="inlineStr">
        <is>
          <t>Sí</t>
        </is>
      </c>
      <c r="G142" s="5" t="n">
        <v>4</v>
      </c>
    </row>
    <row r="143">
      <c r="A143" t="inlineStr">
        <is>
          <t>s0142</t>
        </is>
      </c>
      <c r="B143" t="inlineStr">
        <is>
          <t>Cambio de clase</t>
        </is>
      </c>
      <c r="C143" t="inlineStr">
        <is>
          <t>2006–2009</t>
        </is>
      </c>
      <c r="D143" t="inlineStr">
        <is>
          <t>Serie</t>
        </is>
      </c>
      <c r="E143" t="inlineStr">
        <is>
          <t>España</t>
        </is>
      </c>
      <c r="F143" t="inlineStr"/>
      <c r="G143" s="5" t="n">
        <v>3.3</v>
      </c>
    </row>
    <row r="144">
      <c r="A144" t="inlineStr">
        <is>
          <t>s0143</t>
        </is>
      </c>
      <c r="B144" t="inlineStr">
        <is>
          <t>Dora la exploradora</t>
        </is>
      </c>
      <c r="C144" t="inlineStr">
        <is>
          <t>2000–2015</t>
        </is>
      </c>
      <c r="D144" t="inlineStr">
        <is>
          <t>Serie</t>
        </is>
      </c>
      <c r="E144" t="inlineStr">
        <is>
          <t>Canadá</t>
        </is>
      </c>
      <c r="F144" t="inlineStr">
        <is>
          <t>Sí</t>
        </is>
      </c>
      <c r="G144" s="5" t="n">
        <v>3.3</v>
      </c>
    </row>
    <row r="145">
      <c r="A145" t="inlineStr">
        <is>
          <t>s0144</t>
        </is>
      </c>
      <c r="B145" t="inlineStr">
        <is>
          <t>Gym Tony</t>
        </is>
      </c>
      <c r="C145" t="inlineStr">
        <is>
          <t>2014–2017</t>
        </is>
      </c>
      <c r="D145" t="inlineStr">
        <is>
          <t>Serie</t>
        </is>
      </c>
      <c r="E145" t="inlineStr">
        <is>
          <t>España</t>
        </is>
      </c>
      <c r="F145" t="inlineStr"/>
      <c r="G145" s="5" t="n">
        <v>0</v>
      </c>
    </row>
    <row r="146">
      <c r="A146" t="inlineStr">
        <is>
          <t>s0145</t>
        </is>
      </c>
      <c r="B146" t="inlineStr">
        <is>
          <t>Big Time Rush</t>
        </is>
      </c>
      <c r="C146" t="inlineStr"/>
      <c r="D146" t="inlineStr">
        <is>
          <t>Serie</t>
        </is>
      </c>
      <c r="E146" t="inlineStr"/>
      <c r="F146" t="inlineStr"/>
      <c r="G146" s="5" t="n"/>
    </row>
    <row r="147">
      <c r="A147" t="inlineStr">
        <is>
          <t>s0146</t>
        </is>
      </c>
      <c r="B147" t="inlineStr">
        <is>
          <t>Doctor Mateo</t>
        </is>
      </c>
      <c r="C147" t="inlineStr"/>
      <c r="D147" t="inlineStr">
        <is>
          <t>Serie</t>
        </is>
      </c>
      <c r="E147" t="inlineStr"/>
      <c r="F147" t="inlineStr"/>
      <c r="G147" s="5" t="n"/>
    </row>
    <row r="148">
      <c r="A148" t="inlineStr">
        <is>
          <t>s0147</t>
        </is>
      </c>
      <c r="B148" t="inlineStr">
        <is>
          <t>Los protegidos: El regreso</t>
        </is>
      </c>
      <c r="C148" t="inlineStr"/>
      <c r="D148" t="inlineStr">
        <is>
          <t>Serie</t>
        </is>
      </c>
      <c r="E148" t="inlineStr"/>
      <c r="F148" t="inlineStr"/>
      <c r="G148" s="5" t="n"/>
    </row>
    <row r="149">
      <c r="A149" t="inlineStr">
        <is>
          <t>s0148</t>
        </is>
      </c>
      <c r="B149" t="inlineStr">
        <is>
          <t>Modern Family</t>
        </is>
      </c>
      <c r="C149" t="inlineStr"/>
      <c r="D149" t="inlineStr">
        <is>
          <t>Serie</t>
        </is>
      </c>
      <c r="E149" t="inlineStr"/>
      <c r="F149" t="inlineStr"/>
      <c r="G149" s="5" t="n"/>
    </row>
    <row r="150">
      <c r="A150" t="inlineStr">
        <is>
          <t>s0149</t>
        </is>
      </c>
      <c r="B150" t="inlineStr">
        <is>
          <t>Oliver y Benji</t>
        </is>
      </c>
      <c r="C150" t="inlineStr"/>
      <c r="D150" t="inlineStr">
        <is>
          <t>Serie</t>
        </is>
      </c>
      <c r="E150" t="inlineStr"/>
      <c r="F150" t="inlineStr"/>
      <c r="G150" s="5" t="n"/>
    </row>
    <row r="151">
      <c r="A151" t="inlineStr">
        <is>
          <t>s0150</t>
        </is>
      </c>
      <c r="B151" t="inlineStr">
        <is>
          <t>Star Wars: Galaxy of Adventures</t>
        </is>
      </c>
      <c r="C151" t="inlineStr"/>
      <c r="D151" t="inlineStr">
        <is>
          <t>Serie</t>
        </is>
      </c>
      <c r="E151" t="inlineStr"/>
      <c r="F151" t="inlineStr"/>
      <c r="G151" s="5" t="n"/>
    </row>
    <row r="152">
      <c r="A152" t="inlineStr">
        <is>
          <t>s0151</t>
        </is>
      </c>
      <c r="B152" t="inlineStr">
        <is>
          <t>Tom y Jerry</t>
        </is>
      </c>
      <c r="C152" t="inlineStr"/>
      <c r="D152" t="inlineStr">
        <is>
          <t>Serie</t>
        </is>
      </c>
      <c r="E152" t="inlineStr"/>
      <c r="F152" t="inlineStr"/>
      <c r="G152" s="5" t="n"/>
    </row>
  </sheetData>
  <conditionalFormatting sqref="G2:G152">
    <cfRule type="colorScale" priority="1">
      <colorScale>
        <cfvo type="num" val="0"/>
        <cfvo type="num" val="5.5"/>
        <cfvo type="num" val="10"/>
        <color rgb="00F8696B"/>
        <color rgb="00FFE08A"/>
        <color rgb="005DBB7A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42" customWidth="1" min="3" max="3"/>
    <col width="28" customWidth="1" min="4" max="4"/>
    <col width="7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2" customHeight="1">
      <c r="A1" s="3" t="inlineStr">
        <is>
          <t>Fase</t>
        </is>
      </c>
      <c r="B1" s="3" t="inlineStr">
        <is>
          <t>Año</t>
        </is>
      </c>
      <c r="C1" s="3" t="inlineStr">
        <is>
          <t>Título</t>
        </is>
      </c>
      <c r="D1" s="3" t="inlineStr">
        <is>
          <t>Director</t>
        </is>
      </c>
      <c r="E1" s="3" t="inlineStr">
        <is>
          <t>Nota</t>
        </is>
      </c>
      <c r="F1" s="3" t="inlineStr">
        <is>
          <t>Presupuesto ($)</t>
        </is>
      </c>
      <c r="G1" s="3" t="inlineStr">
        <is>
          <t>Apertura ($)</t>
        </is>
      </c>
      <c r="H1" s="3" t="inlineStr">
        <is>
          <t>Mundial ($)</t>
        </is>
      </c>
      <c r="I1" s="3" t="inlineStr">
        <is>
          <t>Beneficio bruto ($)</t>
        </is>
      </c>
      <c r="J1" s="3" t="inlineStr">
        <is>
          <t>Rentabilidad</t>
        </is>
      </c>
    </row>
    <row r="2">
      <c r="A2" t="inlineStr">
        <is>
          <t>Fase 1 · Saga del Infinito</t>
        </is>
      </c>
      <c r="B2" s="4" t="n">
        <v>2008</v>
      </c>
      <c r="C2" t="inlineStr">
        <is>
          <t>Iron Man</t>
        </is>
      </c>
      <c r="D2" t="inlineStr">
        <is>
          <t>Jon Favreau</t>
        </is>
      </c>
      <c r="E2" s="5" t="n">
        <v>6.8</v>
      </c>
      <c r="F2" s="25" t="n">
        <v>140000000</v>
      </c>
      <c r="G2" s="25" t="n">
        <v>98618668</v>
      </c>
      <c r="H2" s="25" t="n">
        <v>585796247</v>
      </c>
      <c r="I2" s="27">
        <f>IF(OR(F2="",H2=""),"",H2-F2)</f>
        <v/>
      </c>
      <c r="J2" s="28">
        <f>IF(OR(F2="",H2=""),"",H2/F2)</f>
        <v/>
      </c>
    </row>
    <row r="3">
      <c r="A3" t="inlineStr">
        <is>
          <t>Fase 1 · Saga del Infinito</t>
        </is>
      </c>
      <c r="B3" s="4" t="n">
        <v>2008</v>
      </c>
      <c r="C3" t="inlineStr">
        <is>
          <t>El Increíble Hulk</t>
        </is>
      </c>
      <c r="D3" t="inlineStr">
        <is>
          <t>Louis Leterrier</t>
        </is>
      </c>
      <c r="E3" s="5" t="n">
        <v>4.9</v>
      </c>
      <c r="F3" s="25" t="n">
        <v>150000000</v>
      </c>
      <c r="G3" s="25" t="n">
        <v>55414050</v>
      </c>
      <c r="H3" s="25" t="n">
        <v>264770996</v>
      </c>
      <c r="I3" s="27">
        <f>IF(OR(F3="",H3=""),"",H3-F3)</f>
        <v/>
      </c>
      <c r="J3" s="28">
        <f>IF(OR(F3="",H3=""),"",H3/F3)</f>
        <v/>
      </c>
    </row>
    <row r="4">
      <c r="A4" t="inlineStr">
        <is>
          <t>Fase 1 · Saga del Infinito</t>
        </is>
      </c>
      <c r="B4" s="4" t="n">
        <v>2010</v>
      </c>
      <c r="C4" t="inlineStr">
        <is>
          <t>Iron Man 2</t>
        </is>
      </c>
      <c r="D4" t="inlineStr">
        <is>
          <t>Jon Favreau</t>
        </is>
      </c>
      <c r="E4" s="5" t="n">
        <v>6.7</v>
      </c>
      <c r="F4" s="25" t="n">
        <v>200000000</v>
      </c>
      <c r="G4" s="25" t="n">
        <v>128122480</v>
      </c>
      <c r="H4" s="25" t="n">
        <v>623933331</v>
      </c>
      <c r="I4" s="27">
        <f>IF(OR(F4="",H4=""),"",H4-F4)</f>
        <v/>
      </c>
      <c r="J4" s="28">
        <f>IF(OR(F4="",H4=""),"",H4/F4)</f>
        <v/>
      </c>
    </row>
    <row r="5">
      <c r="A5" t="inlineStr">
        <is>
          <t>Fase 1 · Saga del Infinito</t>
        </is>
      </c>
      <c r="B5" s="4" t="n">
        <v>2011</v>
      </c>
      <c r="C5" t="inlineStr">
        <is>
          <t>Capitán América: El primer vengador</t>
        </is>
      </c>
      <c r="D5" t="inlineStr">
        <is>
          <t>Joe Johnston</t>
        </is>
      </c>
      <c r="E5" s="5" t="n">
        <v>6.3</v>
      </c>
      <c r="F5" s="25" t="n">
        <v>140000000</v>
      </c>
      <c r="G5" s="25" t="n">
        <v>65058524</v>
      </c>
      <c r="H5" s="25" t="n">
        <v>370569774</v>
      </c>
      <c r="I5" s="27">
        <f>IF(OR(F5="",H5=""),"",H5-F5)</f>
        <v/>
      </c>
      <c r="J5" s="28">
        <f>IF(OR(F5="",H5=""),"",H5/F5)</f>
        <v/>
      </c>
    </row>
    <row r="6">
      <c r="A6" t="inlineStr">
        <is>
          <t>Fase 1 · Saga del Infinito</t>
        </is>
      </c>
      <c r="B6" s="4" t="n">
        <v>2011</v>
      </c>
      <c r="C6" t="inlineStr">
        <is>
          <t>Thor</t>
        </is>
      </c>
      <c r="D6" t="inlineStr">
        <is>
          <t>Kenneth Branagh</t>
        </is>
      </c>
      <c r="E6" s="5" t="n">
        <v>4.7</v>
      </c>
      <c r="F6" s="25" t="n">
        <v>150000000</v>
      </c>
      <c r="G6" s="25" t="n">
        <v>65723338</v>
      </c>
      <c r="H6" s="25" t="n">
        <v>449326618</v>
      </c>
      <c r="I6" s="27">
        <f>IF(OR(F6="",H6=""),"",H6-F6)</f>
        <v/>
      </c>
      <c r="J6" s="28">
        <f>IF(OR(F6="",H6=""),"",H6/F6)</f>
        <v/>
      </c>
    </row>
    <row r="7">
      <c r="A7" t="inlineStr">
        <is>
          <t>Fase 1 · Saga del Infinito</t>
        </is>
      </c>
      <c r="B7" s="4" t="n">
        <v>2012</v>
      </c>
      <c r="C7" t="inlineStr">
        <is>
          <t>Los Vengadores</t>
        </is>
      </c>
      <c r="D7" t="inlineStr">
        <is>
          <t>Joss Whedon</t>
        </is>
      </c>
      <c r="E7" s="5" t="n">
        <v>7.2</v>
      </c>
      <c r="F7" s="25" t="n">
        <v>220000000</v>
      </c>
      <c r="G7" s="25" t="n">
        <v>207438708</v>
      </c>
      <c r="H7" s="25" t="n">
        <v>1520538536</v>
      </c>
      <c r="I7" s="27">
        <f>IF(OR(F7="",H7=""),"",H7-F7)</f>
        <v/>
      </c>
      <c r="J7" s="28">
        <f>IF(OR(F7="",H7=""),"",H7/F7)</f>
        <v/>
      </c>
    </row>
    <row r="8">
      <c r="A8" t="inlineStr">
        <is>
          <t>Fase 2 · Saga del Infinito</t>
        </is>
      </c>
      <c r="B8" s="4" t="n">
        <v>2013</v>
      </c>
      <c r="C8" t="inlineStr">
        <is>
          <t>Iron Man 3</t>
        </is>
      </c>
      <c r="D8" t="inlineStr">
        <is>
          <t>Shane Black</t>
        </is>
      </c>
      <c r="E8" s="5" t="n">
        <v>6.3</v>
      </c>
      <c r="F8" s="25" t="n">
        <v>200000000</v>
      </c>
      <c r="G8" s="25" t="n">
        <v>174144585</v>
      </c>
      <c r="H8" s="25" t="n">
        <v>1215577205</v>
      </c>
      <c r="I8" s="27">
        <f>IF(OR(F8="",H8=""),"",H8-F8)</f>
        <v/>
      </c>
      <c r="J8" s="28">
        <f>IF(OR(F8="",H8=""),"",H8/F8)</f>
        <v/>
      </c>
    </row>
    <row r="9">
      <c r="A9" t="inlineStr">
        <is>
          <t>Fase 2 · Saga del Infinito</t>
        </is>
      </c>
      <c r="B9" s="4" t="n">
        <v>2013</v>
      </c>
      <c r="C9" t="inlineStr">
        <is>
          <t>Thor: El Mundo Oscuro</t>
        </is>
      </c>
      <c r="D9" t="inlineStr">
        <is>
          <t>Alan Taylor</t>
        </is>
      </c>
      <c r="E9" s="5" t="n">
        <v>4.9</v>
      </c>
      <c r="F9" s="25" t="n">
        <v>170000000</v>
      </c>
      <c r="G9" s="25" t="n">
        <v>85737841</v>
      </c>
      <c r="H9" s="25" t="n">
        <v>644783140</v>
      </c>
      <c r="I9" s="27">
        <f>IF(OR(F9="",H9=""),"",H9-F9)</f>
        <v/>
      </c>
      <c r="J9" s="28">
        <f>IF(OR(F9="",H9=""),"",H9/F9)</f>
        <v/>
      </c>
    </row>
    <row r="10">
      <c r="A10" t="inlineStr">
        <is>
          <t>Fase 2 · Saga del Infinito</t>
        </is>
      </c>
      <c r="B10" s="4" t="n">
        <v>2014</v>
      </c>
      <c r="C10" t="inlineStr">
        <is>
          <t>Guardianes de la Galaxia</t>
        </is>
      </c>
      <c r="D10" t="inlineStr">
        <is>
          <t>James Gunn</t>
        </is>
      </c>
      <c r="E10" s="5" t="n">
        <v>7.7</v>
      </c>
      <c r="F10" s="25" t="n">
        <v>170000000</v>
      </c>
      <c r="G10" s="25" t="n">
        <v>94320883</v>
      </c>
      <c r="H10" s="25" t="n">
        <v>773350147</v>
      </c>
      <c r="I10" s="27">
        <f>IF(OR(F10="",H10=""),"",H10-F10)</f>
        <v/>
      </c>
      <c r="J10" s="28">
        <f>IF(OR(F10="",H10=""),"",H10/F10)</f>
        <v/>
      </c>
    </row>
    <row r="11">
      <c r="A11" t="inlineStr">
        <is>
          <t>Fase 2 · Saga del Infinito</t>
        </is>
      </c>
      <c r="B11" s="4" t="n">
        <v>2014</v>
      </c>
      <c r="C11" t="inlineStr">
        <is>
          <t>Capitán América: El Soldado de Invierno</t>
        </is>
      </c>
      <c r="D11" t="inlineStr">
        <is>
          <t>Anthony Russo / Joe Russo</t>
        </is>
      </c>
      <c r="E11" s="5" t="n">
        <v>7.4</v>
      </c>
      <c r="F11" s="25" t="n">
        <v>170000000</v>
      </c>
      <c r="G11" s="25" t="n">
        <v>95023721</v>
      </c>
      <c r="H11" s="25" t="n">
        <v>714421503</v>
      </c>
      <c r="I11" s="27">
        <f>IF(OR(F11="",H11=""),"",H11-F11)</f>
        <v/>
      </c>
      <c r="J11" s="28">
        <f>IF(OR(F11="",H11=""),"",H11/F11)</f>
        <v/>
      </c>
    </row>
    <row r="12">
      <c r="A12" t="inlineStr">
        <is>
          <t>Fase 2 · Saga del Infinito</t>
        </is>
      </c>
      <c r="B12" s="4" t="n">
        <v>2015</v>
      </c>
      <c r="C12" t="inlineStr">
        <is>
          <t>Vengadores: La Era de Ultrón</t>
        </is>
      </c>
      <c r="D12" t="inlineStr">
        <is>
          <t>Joss Whedon</t>
        </is>
      </c>
      <c r="E12" s="5" t="n">
        <v>6.9</v>
      </c>
      <c r="F12" s="25" t="n">
        <v>250000000</v>
      </c>
      <c r="G12" s="25" t="n">
        <v>191271109</v>
      </c>
      <c r="H12" s="25" t="n">
        <v>1405018048</v>
      </c>
      <c r="I12" s="27">
        <f>IF(OR(F12="",H12=""),"",H12-F12)</f>
        <v/>
      </c>
      <c r="J12" s="28">
        <f>IF(OR(F12="",H12=""),"",H12/F12)</f>
        <v/>
      </c>
    </row>
    <row r="13">
      <c r="A13" t="inlineStr">
        <is>
          <t>Fase 2 · Saga del Infinito</t>
        </is>
      </c>
      <c r="B13" s="4" t="n">
        <v>2015</v>
      </c>
      <c r="C13" t="inlineStr">
        <is>
          <t>Ant-Man</t>
        </is>
      </c>
      <c r="D13" t="inlineStr">
        <is>
          <t>Peyton Reed</t>
        </is>
      </c>
      <c r="E13" s="5" t="n">
        <v>4.7</v>
      </c>
      <c r="F13" s="25" t="n">
        <v>130000000</v>
      </c>
      <c r="G13" s="25" t="n">
        <v>57225526</v>
      </c>
      <c r="H13" s="25" t="n">
        <v>519311965</v>
      </c>
      <c r="I13" s="27">
        <f>IF(OR(F13="",H13=""),"",H13-F13)</f>
        <v/>
      </c>
      <c r="J13" s="28">
        <f>IF(OR(F13="",H13=""),"",H13/F13)</f>
        <v/>
      </c>
    </row>
    <row r="14">
      <c r="A14" t="inlineStr">
        <is>
          <t>Fase 3 · Saga del Infinito</t>
        </is>
      </c>
      <c r="B14" s="4" t="n">
        <v>2016</v>
      </c>
      <c r="C14" t="inlineStr">
        <is>
          <t>Capitán América: Civil War</t>
        </is>
      </c>
      <c r="D14" t="inlineStr">
        <is>
          <t>Anthony Russo / Joe Russo</t>
        </is>
      </c>
      <c r="E14" s="5" t="n">
        <v>8.5</v>
      </c>
      <c r="F14" s="25" t="n">
        <v>250000000</v>
      </c>
      <c r="G14" s="25" t="n">
        <v>179139142</v>
      </c>
      <c r="H14" s="25" t="n">
        <v>1155046416</v>
      </c>
      <c r="I14" s="27">
        <f>IF(OR(F14="",H14=""),"",H14-F14)</f>
        <v/>
      </c>
      <c r="J14" s="28">
        <f>IF(OR(F14="",H14=""),"",H14/F14)</f>
        <v/>
      </c>
    </row>
    <row r="15">
      <c r="A15" t="inlineStr">
        <is>
          <t>Fase 3 · Saga del Infinito</t>
        </is>
      </c>
      <c r="B15" s="4" t="n">
        <v>2016</v>
      </c>
      <c r="C15" t="inlineStr">
        <is>
          <t>Doctor Strange</t>
        </is>
      </c>
      <c r="D15" t="inlineStr">
        <is>
          <t>Scott Derrickson</t>
        </is>
      </c>
      <c r="E15" s="5" t="n">
        <v>4.6</v>
      </c>
      <c r="F15" s="25" t="n">
        <v>165000000</v>
      </c>
      <c r="G15" s="25" t="n">
        <v>85058311</v>
      </c>
      <c r="H15" s="25" t="n">
        <v>677796076</v>
      </c>
      <c r="I15" s="27">
        <f>IF(OR(F15="",H15=""),"",H15-F15)</f>
        <v/>
      </c>
      <c r="J15" s="28">
        <f>IF(OR(F15="",H15=""),"",H15/F15)</f>
        <v/>
      </c>
    </row>
    <row r="16">
      <c r="A16" t="inlineStr">
        <is>
          <t>Fase 3 · Saga del Infinito</t>
        </is>
      </c>
      <c r="B16" s="4" t="n">
        <v>2017</v>
      </c>
      <c r="C16" t="inlineStr">
        <is>
          <t>Guardianes de la Galaxia Vol. 2</t>
        </is>
      </c>
      <c r="D16" t="inlineStr">
        <is>
          <t>James Gunn</t>
        </is>
      </c>
      <c r="E16" s="5" t="n">
        <v>6.9</v>
      </c>
      <c r="F16" s="25" t="n">
        <v>200000000</v>
      </c>
      <c r="G16" s="25" t="n">
        <v>146510104</v>
      </c>
      <c r="H16" s="25" t="n">
        <v>863763362</v>
      </c>
      <c r="I16" s="27">
        <f>IF(OR(F16="",H16=""),"",H16-F16)</f>
        <v/>
      </c>
      <c r="J16" s="28">
        <f>IF(OR(F16="",H16=""),"",H16/F16)</f>
        <v/>
      </c>
    </row>
    <row r="17">
      <c r="A17" t="inlineStr">
        <is>
          <t>Fase 3 · Saga del Infinito</t>
        </is>
      </c>
      <c r="B17" s="4" t="n">
        <v>2017</v>
      </c>
      <c r="C17" t="inlineStr">
        <is>
          <t>Thor: Ragnarok</t>
        </is>
      </c>
      <c r="D17" t="inlineStr">
        <is>
          <t>Taika Waititi</t>
        </is>
      </c>
      <c r="E17" s="5" t="n">
        <v>6.7</v>
      </c>
      <c r="F17" s="25" t="n">
        <v>180000000</v>
      </c>
      <c r="G17" s="25" t="n">
        <v>122744989</v>
      </c>
      <c r="H17" s="25" t="n">
        <v>855301806</v>
      </c>
      <c r="I17" s="27">
        <f>IF(OR(F17="",H17=""),"",H17-F17)</f>
        <v/>
      </c>
      <c r="J17" s="28">
        <f>IF(OR(F17="",H17=""),"",H17/F17)</f>
        <v/>
      </c>
    </row>
    <row r="18">
      <c r="A18" t="inlineStr">
        <is>
          <t>Fase 3 · Saga del Infinito</t>
        </is>
      </c>
      <c r="B18" s="4" t="n">
        <v>2017</v>
      </c>
      <c r="C18" t="inlineStr">
        <is>
          <t>Spider-Man: Homecoming</t>
        </is>
      </c>
      <c r="D18" t="inlineStr">
        <is>
          <t>Jon Watts</t>
        </is>
      </c>
      <c r="E18" s="5" t="n">
        <v>6</v>
      </c>
      <c r="F18" s="25" t="n">
        <v>175000000</v>
      </c>
      <c r="G18" s="25" t="n">
        <v>117027503</v>
      </c>
      <c r="H18" s="25" t="n">
        <v>880936784</v>
      </c>
      <c r="I18" s="27">
        <f>IF(OR(F18="",H18=""),"",H18-F18)</f>
        <v/>
      </c>
      <c r="J18" s="28">
        <f>IF(OR(F18="",H18=""),"",H18/F18)</f>
        <v/>
      </c>
    </row>
    <row r="19">
      <c r="A19" t="inlineStr">
        <is>
          <t>Fase 3 · Saga del Infinito</t>
        </is>
      </c>
      <c r="B19" s="4" t="n">
        <v>2018</v>
      </c>
      <c r="C19" t="inlineStr">
        <is>
          <t>Vengadores: Infinity War</t>
        </is>
      </c>
      <c r="D19" t="inlineStr">
        <is>
          <t>Anthony Russo / Joe Russo</t>
        </is>
      </c>
      <c r="E19" s="5" t="n">
        <v>8.6</v>
      </c>
      <c r="F19" s="25" t="n">
        <v>350000000</v>
      </c>
      <c r="G19" s="25" t="n">
        <v>257698183</v>
      </c>
      <c r="H19" s="25" t="n">
        <v>2052415039</v>
      </c>
      <c r="I19" s="27">
        <f>IF(OR(F19="",H19=""),"",H19-F19)</f>
        <v/>
      </c>
      <c r="J19" s="28">
        <f>IF(OR(F19="",H19=""),"",H19/F19)</f>
        <v/>
      </c>
    </row>
    <row r="20">
      <c r="A20" t="inlineStr">
        <is>
          <t>Fase 3 · Saga del Infinito</t>
        </is>
      </c>
      <c r="B20" s="4" t="n">
        <v>2018</v>
      </c>
      <c r="C20" t="inlineStr">
        <is>
          <t>Black Panther</t>
        </is>
      </c>
      <c r="D20" t="inlineStr">
        <is>
          <t>Ryan Coogler</t>
        </is>
      </c>
      <c r="E20" s="5" t="n">
        <v>5.7</v>
      </c>
      <c r="F20" s="25" t="n">
        <v>200000000</v>
      </c>
      <c r="G20" s="25" t="n">
        <v>202003951</v>
      </c>
      <c r="H20" s="25" t="n">
        <v>1349926083</v>
      </c>
      <c r="I20" s="27">
        <f>IF(OR(F20="",H20=""),"",H20-F20)</f>
        <v/>
      </c>
      <c r="J20" s="28">
        <f>IF(OR(F20="",H20=""),"",H20/F20)</f>
        <v/>
      </c>
    </row>
    <row r="21">
      <c r="A21" t="inlineStr">
        <is>
          <t>Fase 3 · Saga del Infinito</t>
        </is>
      </c>
      <c r="B21" s="4" t="n">
        <v>2018</v>
      </c>
      <c r="C21" t="inlineStr">
        <is>
          <t>Ant-Man y la Avispa</t>
        </is>
      </c>
      <c r="D21" t="inlineStr">
        <is>
          <t>Peyton Reed</t>
        </is>
      </c>
      <c r="E21" s="5" t="n">
        <v>5.1</v>
      </c>
      <c r="F21" s="25" t="n">
        <v>160000000</v>
      </c>
      <c r="G21" s="25" t="n">
        <v>75812205</v>
      </c>
      <c r="H21" s="25" t="n">
        <v>622674139</v>
      </c>
      <c r="I21" s="27">
        <f>IF(OR(F21="",H21=""),"",H21-F21)</f>
        <v/>
      </c>
      <c r="J21" s="28">
        <f>IF(OR(F21="",H21=""),"",H21/F21)</f>
        <v/>
      </c>
    </row>
    <row r="22">
      <c r="A22" t="inlineStr">
        <is>
          <t>Fase 3 · Saga del Infinito</t>
        </is>
      </c>
      <c r="B22" s="4" t="n">
        <v>2019</v>
      </c>
      <c r="C22" t="inlineStr">
        <is>
          <t>Vengadores: Endgame</t>
        </is>
      </c>
      <c r="D22" t="inlineStr">
        <is>
          <t>Anthony Russo / Joe Russo</t>
        </is>
      </c>
      <c r="E22" s="5" t="n">
        <v>8.1</v>
      </c>
      <c r="F22" s="25" t="n">
        <v>356000000</v>
      </c>
      <c r="G22" s="25" t="n">
        <v>357115007</v>
      </c>
      <c r="H22" s="25" t="n">
        <v>2799439100</v>
      </c>
      <c r="I22" s="27">
        <f>IF(OR(F22="",H22=""),"",H22-F22)</f>
        <v/>
      </c>
      <c r="J22" s="28">
        <f>IF(OR(F22="",H22=""),"",H22/F22)</f>
        <v/>
      </c>
    </row>
    <row r="23">
      <c r="A23" t="inlineStr">
        <is>
          <t>Fase 3 · Saga del Infinito</t>
        </is>
      </c>
      <c r="B23" s="4" t="n">
        <v>2019</v>
      </c>
      <c r="C23" t="inlineStr">
        <is>
          <t>Spider-Man: Far From Home</t>
        </is>
      </c>
      <c r="D23" t="inlineStr">
        <is>
          <t>Jon Watts</t>
        </is>
      </c>
      <c r="E23" s="5" t="n">
        <v>6.2</v>
      </c>
      <c r="F23" s="25" t="n">
        <v>160000000</v>
      </c>
      <c r="G23" s="25" t="n">
        <v>92579212</v>
      </c>
      <c r="H23" s="25" t="n">
        <v>1132697856</v>
      </c>
      <c r="I23" s="27">
        <f>IF(OR(F23="",H23=""),"",H23-F23)</f>
        <v/>
      </c>
      <c r="J23" s="28">
        <f>IF(OR(F23="",H23=""),"",H23/F23)</f>
        <v/>
      </c>
    </row>
    <row r="24">
      <c r="A24" t="inlineStr">
        <is>
          <t>Fase 3 · Saga del Infinito</t>
        </is>
      </c>
      <c r="B24" s="4" t="n">
        <v>2019</v>
      </c>
      <c r="C24" t="inlineStr">
        <is>
          <t>Capitana Marvel</t>
        </is>
      </c>
      <c r="D24" t="inlineStr">
        <is>
          <t>Anna Boden / Ryan Fleck</t>
        </is>
      </c>
      <c r="E24" s="5" t="n">
        <v>4.4</v>
      </c>
      <c r="F24" s="25" t="n">
        <v>160000000</v>
      </c>
      <c r="G24" s="25" t="n">
        <v>153433423</v>
      </c>
      <c r="H24" s="25" t="n">
        <v>1131416446</v>
      </c>
      <c r="I24" s="27">
        <f>IF(OR(F24="",H24=""),"",H24-F24)</f>
        <v/>
      </c>
      <c r="J24" s="28">
        <f>IF(OR(F24="",H24=""),"",H24/F24)</f>
        <v/>
      </c>
    </row>
    <row r="25">
      <c r="A25" t="inlineStr">
        <is>
          <t>Fase 4 · Saga del Multiverso</t>
        </is>
      </c>
      <c r="B25" s="4" t="n">
        <v>2021</v>
      </c>
      <c r="C25" t="inlineStr">
        <is>
          <t>Spider-Man: No Way Home</t>
        </is>
      </c>
      <c r="D25" t="inlineStr">
        <is>
          <t>Jon Watts</t>
        </is>
      </c>
      <c r="E25" s="5" t="n">
        <v>6.4</v>
      </c>
      <c r="F25" s="25" t="n">
        <v>200000000</v>
      </c>
      <c r="G25" s="25" t="n">
        <v>260138569</v>
      </c>
      <c r="H25" s="25" t="n">
        <v>1921400703</v>
      </c>
      <c r="I25" s="27">
        <f>IF(OR(F25="",H25=""),"",H25-F25)</f>
        <v/>
      </c>
      <c r="J25" s="28">
        <f>IF(OR(F25="",H25=""),"",H25/F25)</f>
        <v/>
      </c>
    </row>
    <row r="26">
      <c r="A26" t="inlineStr">
        <is>
          <t>Fase 4 · Saga del Multiverso</t>
        </is>
      </c>
      <c r="B26" s="4" t="n">
        <v>2021</v>
      </c>
      <c r="C26" t="inlineStr">
        <is>
          <t>Viuda Negra</t>
        </is>
      </c>
      <c r="D26" t="inlineStr">
        <is>
          <t>Cate Shortland</t>
        </is>
      </c>
      <c r="E26" s="5" t="n">
        <v>5</v>
      </c>
      <c r="F26" s="25" t="n">
        <v>150000000</v>
      </c>
      <c r="G26" s="25" t="n">
        <v>80366312</v>
      </c>
      <c r="H26" s="25" t="n">
        <v>379751655</v>
      </c>
      <c r="I26" s="27">
        <f>IF(OR(F26="",H26=""),"",H26-F26)</f>
        <v/>
      </c>
      <c r="J26" s="28">
        <f>IF(OR(F26="",H26=""),"",H26/F26)</f>
        <v/>
      </c>
    </row>
    <row r="27">
      <c r="A27" t="inlineStr">
        <is>
          <t>Fase 4 · Saga del Multiverso</t>
        </is>
      </c>
      <c r="B27" s="4" t="n">
        <v>2021</v>
      </c>
      <c r="C27" t="inlineStr">
        <is>
          <t>Shang-Chi y la Leyenda de los Diez Anillos</t>
        </is>
      </c>
      <c r="D27" t="inlineStr">
        <is>
          <t>Destin Cretton</t>
        </is>
      </c>
      <c r="E27" s="5" t="n">
        <v>4.5</v>
      </c>
      <c r="F27" s="25" t="n">
        <v>150000000</v>
      </c>
      <c r="G27" s="25" t="n">
        <v>75388688</v>
      </c>
      <c r="H27" s="25" t="n">
        <v>432243292</v>
      </c>
      <c r="I27" s="27">
        <f>IF(OR(F27="",H27=""),"",H27-F27)</f>
        <v/>
      </c>
      <c r="J27" s="28">
        <f>IF(OR(F27="",H27=""),"",H27/F27)</f>
        <v/>
      </c>
    </row>
    <row r="28">
      <c r="A28" t="inlineStr">
        <is>
          <t>Fase 4 · Saga del Multiverso</t>
        </is>
      </c>
      <c r="B28" s="4" t="n">
        <v>2021</v>
      </c>
      <c r="C28" t="inlineStr">
        <is>
          <t>Eternals</t>
        </is>
      </c>
      <c r="D28" t="inlineStr">
        <is>
          <t>Chloé Zhao</t>
        </is>
      </c>
      <c r="E28" s="5" t="n">
        <v>4.5</v>
      </c>
      <c r="F28" s="25" t="n">
        <v>200000000</v>
      </c>
      <c r="G28" s="25" t="n">
        <v>71297219</v>
      </c>
      <c r="H28" s="25" t="n">
        <v>402064899</v>
      </c>
      <c r="I28" s="27">
        <f>IF(OR(F28="",H28=""),"",H28-F28)</f>
        <v/>
      </c>
      <c r="J28" s="28">
        <f>IF(OR(F28="",H28=""),"",H28/F28)</f>
        <v/>
      </c>
    </row>
    <row r="29">
      <c r="A29" t="inlineStr">
        <is>
          <t>Fase 4 · Saga del Multiverso</t>
        </is>
      </c>
      <c r="B29" s="4" t="n">
        <v>2022</v>
      </c>
      <c r="C29" t="inlineStr">
        <is>
          <t>Thor: Love and Thunder</t>
        </is>
      </c>
      <c r="D29" t="inlineStr">
        <is>
          <t>Taika Waititi</t>
        </is>
      </c>
      <c r="E29" s="5" t="n">
        <v>5.5</v>
      </c>
      <c r="F29" s="25" t="n">
        <v>250000000</v>
      </c>
      <c r="G29" s="25" t="n">
        <v>144165107</v>
      </c>
      <c r="H29" s="25" t="n">
        <v>760928081</v>
      </c>
      <c r="I29" s="27">
        <f>IF(OR(F29="",H29=""),"",H29-F29)</f>
        <v/>
      </c>
      <c r="J29" s="28">
        <f>IF(OR(F29="",H29=""),"",H29/F29)</f>
        <v/>
      </c>
    </row>
    <row r="30">
      <c r="A30" t="inlineStr">
        <is>
          <t>Fase 4 · Saga del Multiverso</t>
        </is>
      </c>
      <c r="B30" s="4" t="n">
        <v>2022</v>
      </c>
      <c r="C30" t="inlineStr">
        <is>
          <t>Black Panther: Wakanda Forever</t>
        </is>
      </c>
      <c r="D30" t="inlineStr">
        <is>
          <t>Ryan Coogler</t>
        </is>
      </c>
      <c r="E30" s="5" t="n">
        <v>5</v>
      </c>
      <c r="F30" s="25" t="n">
        <v>250000000</v>
      </c>
      <c r="G30" s="25" t="n">
        <v>181339761</v>
      </c>
      <c r="H30" s="25" t="n">
        <v>859208836</v>
      </c>
      <c r="I30" s="27">
        <f>IF(OR(F30="",H30=""),"",H30-F30)</f>
        <v/>
      </c>
      <c r="J30" s="28">
        <f>IF(OR(F30="",H30=""),"",H30/F30)</f>
        <v/>
      </c>
    </row>
    <row r="31">
      <c r="A31" t="inlineStr">
        <is>
          <t>Fase 4 · Saga del Multiverso</t>
        </is>
      </c>
      <c r="B31" s="4" t="n">
        <v>2022</v>
      </c>
      <c r="C31" t="inlineStr">
        <is>
          <t>Doctor Strange en el Multiverso de la Locura</t>
        </is>
      </c>
      <c r="D31" t="inlineStr">
        <is>
          <t>Sam Raimi</t>
        </is>
      </c>
      <c r="E31" s="5" t="n">
        <v>4.8</v>
      </c>
      <c r="F31" s="25" t="n">
        <v>250000000</v>
      </c>
      <c r="G31" s="25" t="n">
        <v>187420998</v>
      </c>
      <c r="H31" s="25" t="n">
        <v>955775804</v>
      </c>
      <c r="I31" s="27">
        <f>IF(OR(F31="",H31=""),"",H31-F31)</f>
        <v/>
      </c>
      <c r="J31" s="28">
        <f>IF(OR(F31="",H31=""),"",H31/F31)</f>
        <v/>
      </c>
    </row>
    <row r="32">
      <c r="A32" t="inlineStr">
        <is>
          <t>Fase 5 · Saga del Multiverso</t>
        </is>
      </c>
      <c r="B32" s="4" t="n">
        <v>2023</v>
      </c>
      <c r="C32" t="inlineStr">
        <is>
          <t>Guardianes de la Galaxia Vol. 3</t>
        </is>
      </c>
      <c r="D32" t="inlineStr">
        <is>
          <t>James Gunn</t>
        </is>
      </c>
      <c r="E32" s="5" t="n">
        <v>5</v>
      </c>
      <c r="F32" s="25" t="n">
        <v>250000000</v>
      </c>
      <c r="G32" s="25" t="n">
        <v>118414021</v>
      </c>
      <c r="H32" s="25" t="n">
        <v>845555777</v>
      </c>
      <c r="I32" s="27">
        <f>IF(OR(F32="",H32=""),"",H32-F32)</f>
        <v/>
      </c>
      <c r="J32" s="28">
        <f>IF(OR(F32="",H32=""),"",H32/F32)</f>
        <v/>
      </c>
    </row>
    <row r="33">
      <c r="A33" t="inlineStr">
        <is>
          <t>Fase 5 · Saga del Multiverso</t>
        </is>
      </c>
      <c r="B33" s="4" t="n">
        <v>2023</v>
      </c>
      <c r="C33" t="inlineStr">
        <is>
          <t>Ant-Man y la Avispa: Quantumanía</t>
        </is>
      </c>
      <c r="D33" t="inlineStr">
        <is>
          <t>Peyton Reed</t>
        </is>
      </c>
      <c r="E33" s="5" t="n">
        <v>3.8</v>
      </c>
      <c r="F33" s="25" t="n">
        <v>330100000</v>
      </c>
      <c r="G33" s="25" t="n">
        <v>106109650</v>
      </c>
      <c r="H33" s="25" t="n">
        <v>476071180</v>
      </c>
      <c r="I33" s="27">
        <f>IF(OR(F33="",H33=""),"",H33-F33)</f>
        <v/>
      </c>
      <c r="J33" s="28">
        <f>IF(OR(F33="",H33=""),"",H33/F33)</f>
        <v/>
      </c>
    </row>
    <row r="34">
      <c r="A34" t="inlineStr">
        <is>
          <t>Fase 5 · Saga del Multiverso</t>
        </is>
      </c>
      <c r="B34" s="4" t="n">
        <v>2023</v>
      </c>
      <c r="C34" t="inlineStr">
        <is>
          <t>The Marvels</t>
        </is>
      </c>
      <c r="D34" t="inlineStr">
        <is>
          <t>Nia DaCosta</t>
        </is>
      </c>
      <c r="E34" s="5" t="n">
        <v>3</v>
      </c>
      <c r="F34" s="25" t="n">
        <v>307300000</v>
      </c>
      <c r="G34" s="25" t="n">
        <v>46110859</v>
      </c>
      <c r="H34" s="25" t="n">
        <v>206136825</v>
      </c>
      <c r="I34" s="27">
        <f>IF(OR(F34="",H34=""),"",H34-F34)</f>
        <v/>
      </c>
      <c r="J34" s="28">
        <f>IF(OR(F34="",H34=""),"",H34/F34)</f>
        <v/>
      </c>
    </row>
    <row r="35">
      <c r="A35" t="inlineStr">
        <is>
          <t>Fase 5 · Saga del Multiverso</t>
        </is>
      </c>
      <c r="B35" s="4" t="n">
        <v>2024</v>
      </c>
      <c r="C35" t="inlineStr">
        <is>
          <t>Deadpool &amp; Wolverine</t>
        </is>
      </c>
      <c r="D35" t="inlineStr">
        <is>
          <t>Shawn Levy</t>
        </is>
      </c>
      <c r="E35" s="5" t="n">
        <v>6.4</v>
      </c>
      <c r="F35" s="25" t="n">
        <v>537000000</v>
      </c>
      <c r="G35" s="25" t="n">
        <v>211435291</v>
      </c>
      <c r="H35" s="25" t="n">
        <v>1338073645</v>
      </c>
      <c r="I35" s="27">
        <f>IF(OR(F35="",H35=""),"",H35-F35)</f>
        <v/>
      </c>
      <c r="J35" s="28">
        <f>IF(OR(F35="",H35=""),"",H35/F35)</f>
        <v/>
      </c>
    </row>
    <row r="36">
      <c r="A36" t="inlineStr">
        <is>
          <t>Fase 5 · Saga del Multiverso</t>
        </is>
      </c>
      <c r="B36" s="4" t="n">
        <v>2025</v>
      </c>
      <c r="C36" t="inlineStr">
        <is>
          <t>Thunderbolts*</t>
        </is>
      </c>
      <c r="D36" t="inlineStr">
        <is>
          <t>Jake Schreier</t>
        </is>
      </c>
      <c r="E36" s="5" t="n">
        <v>5.7</v>
      </c>
      <c r="F36" s="25" t="n">
        <v>180000000</v>
      </c>
      <c r="G36" s="25" t="n">
        <v>74300608</v>
      </c>
      <c r="H36" s="25" t="n">
        <v>382436917</v>
      </c>
      <c r="I36" s="27">
        <f>IF(OR(F36="",H36=""),"",H36-F36)</f>
        <v/>
      </c>
      <c r="J36" s="28">
        <f>IF(OR(F36="",H36=""),"",H36/F36)</f>
        <v/>
      </c>
    </row>
    <row r="37">
      <c r="A37" t="inlineStr">
        <is>
          <t>Fase 5 · Saga del Multiverso</t>
        </is>
      </c>
      <c r="B37" s="4" t="n">
        <v>2025</v>
      </c>
      <c r="C37" t="inlineStr">
        <is>
          <t>Capitán América: Brave New World</t>
        </is>
      </c>
      <c r="D37" t="inlineStr">
        <is>
          <t>Julius Onah</t>
        </is>
      </c>
      <c r="E37" s="5" t="n">
        <v>4.7</v>
      </c>
      <c r="F37" s="25" t="n">
        <v>180000000</v>
      </c>
      <c r="G37" s="25" t="n">
        <v>88842603</v>
      </c>
      <c r="H37" s="25" t="n">
        <v>415101577</v>
      </c>
      <c r="I37" s="27">
        <f>IF(OR(F37="",H37=""),"",H37-F37)</f>
        <v/>
      </c>
      <c r="J37" s="28">
        <f>IF(OR(F37="",H37=""),"",H37/F37)</f>
        <v/>
      </c>
    </row>
    <row r="38">
      <c r="A38" t="inlineStr">
        <is>
          <t>Fase 6 · Saga del Multiverso</t>
        </is>
      </c>
      <c r="B38" s="4" t="n">
        <v>2025</v>
      </c>
      <c r="C38" t="inlineStr">
        <is>
          <t>Los Cuatro Fantásticos: Primeros Pasos</t>
        </is>
      </c>
      <c r="D38" t="inlineStr">
        <is>
          <t>Matt Shakman</t>
        </is>
      </c>
      <c r="E38" s="5" t="n">
        <v>5.6</v>
      </c>
      <c r="F38" s="25" t="n">
        <v>229600000</v>
      </c>
      <c r="G38" s="25" t="n">
        <v>117644828</v>
      </c>
      <c r="H38" s="25" t="n">
        <v>521858728</v>
      </c>
      <c r="I38" s="27">
        <f>IF(OR(F38="",H38=""),"",H38-F38)</f>
        <v/>
      </c>
      <c r="J38" s="28">
        <f>IF(OR(F38="",H38=""),"",H38/F38)</f>
        <v/>
      </c>
    </row>
    <row r="39">
      <c r="A39" t="inlineStr">
        <is>
          <t>Fase 6 · Saga del Multiverso</t>
        </is>
      </c>
      <c r="B39" s="4" t="n">
        <v>2026</v>
      </c>
      <c r="C39" t="inlineStr">
        <is>
          <t>Spider-Man: Brand New Day</t>
        </is>
      </c>
      <c r="D39" t="inlineStr">
        <is>
          <t>Destin Cretton</t>
        </is>
      </c>
      <c r="E39" s="5" t="n">
        <v>6.8</v>
      </c>
      <c r="F39" s="25" t="n">
        <v>225000000</v>
      </c>
      <c r="G39" s="25" t="n">
        <v>360091572</v>
      </c>
      <c r="H39" s="25" t="n">
        <v>2495949664</v>
      </c>
      <c r="I39" s="27">
        <f>IF(OR(F39="",H39=""),"",H39-F39)</f>
        <v/>
      </c>
      <c r="J39" s="28">
        <f>IF(OR(F39="",H39=""),"",H39/F39)</f>
        <v/>
      </c>
    </row>
    <row r="42">
      <c r="A42" s="29" t="inlineStr">
        <is>
          <t>Resumen por fase</t>
        </is>
      </c>
    </row>
    <row r="43">
      <c r="A43" s="30" t="inlineStr">
        <is>
          <t>Fase</t>
        </is>
      </c>
      <c r="B43" s="30" t="inlineStr">
        <is>
          <t>Películas</t>
        </is>
      </c>
      <c r="C43" s="30" t="inlineStr">
        <is>
          <t>Nota media</t>
        </is>
      </c>
      <c r="D43" s="30" t="inlineStr">
        <is>
          <t>Presupuesto total</t>
        </is>
      </c>
      <c r="E43" s="30" t="inlineStr">
        <is>
          <t>Taquilla mundial</t>
        </is>
      </c>
      <c r="F43" s="30" t="inlineStr">
        <is>
          <t>Rentabilidad</t>
        </is>
      </c>
    </row>
    <row r="44">
      <c r="A44" t="inlineStr">
        <is>
          <t>Fase 1 · Saga del Infinito</t>
        </is>
      </c>
      <c r="B44">
        <f>COUNTIF(UCM[Fase],A44)</f>
        <v/>
      </c>
      <c r="C44" s="5">
        <f>IFERROR(AVERAGEIF(UCM[Fase],A44,UCM[Nota]),"")</f>
        <v/>
      </c>
      <c r="D44" s="25">
        <f>SUMIF(UCM[Fase],A44,UCM[Presupuesto ($)])</f>
        <v/>
      </c>
      <c r="E44" s="25">
        <f>SUMIF(UCM[Fase],A44,UCM[Mundial ($)])</f>
        <v/>
      </c>
      <c r="F44" s="28">
        <f>IFERROR(E44/D44,"")</f>
        <v/>
      </c>
    </row>
    <row r="45">
      <c r="A45" t="inlineStr">
        <is>
          <t>Fase 2 · Saga del Infinito</t>
        </is>
      </c>
      <c r="B45">
        <f>COUNTIF(UCM[Fase],A45)</f>
        <v/>
      </c>
      <c r="C45" s="5">
        <f>IFERROR(AVERAGEIF(UCM[Fase],A45,UCM[Nota]),"")</f>
        <v/>
      </c>
      <c r="D45" s="25">
        <f>SUMIF(UCM[Fase],A45,UCM[Presupuesto ($)])</f>
        <v/>
      </c>
      <c r="E45" s="25">
        <f>SUMIF(UCM[Fase],A45,UCM[Mundial ($)])</f>
        <v/>
      </c>
      <c r="F45" s="28">
        <f>IFERROR(E45/D45,"")</f>
        <v/>
      </c>
    </row>
    <row r="46">
      <c r="A46" t="inlineStr">
        <is>
          <t>Fase 3 · Saga del Infinito</t>
        </is>
      </c>
      <c r="B46">
        <f>COUNTIF(UCM[Fase],A46)</f>
        <v/>
      </c>
      <c r="C46" s="5">
        <f>IFERROR(AVERAGEIF(UCM[Fase],A46,UCM[Nota]),"")</f>
        <v/>
      </c>
      <c r="D46" s="25">
        <f>SUMIF(UCM[Fase],A46,UCM[Presupuesto ($)])</f>
        <v/>
      </c>
      <c r="E46" s="25">
        <f>SUMIF(UCM[Fase],A46,UCM[Mundial ($)])</f>
        <v/>
      </c>
      <c r="F46" s="28">
        <f>IFERROR(E46/D46,"")</f>
        <v/>
      </c>
    </row>
    <row r="47">
      <c r="A47" t="inlineStr">
        <is>
          <t>Fase 4 · Saga del Multiverso</t>
        </is>
      </c>
      <c r="B47">
        <f>COUNTIF(UCM[Fase],A47)</f>
        <v/>
      </c>
      <c r="C47" s="5">
        <f>IFERROR(AVERAGEIF(UCM[Fase],A47,UCM[Nota]),"")</f>
        <v/>
      </c>
      <c r="D47" s="25">
        <f>SUMIF(UCM[Fase],A47,UCM[Presupuesto ($)])</f>
        <v/>
      </c>
      <c r="E47" s="25">
        <f>SUMIF(UCM[Fase],A47,UCM[Mundial ($)])</f>
        <v/>
      </c>
      <c r="F47" s="28">
        <f>IFERROR(E47/D47,"")</f>
        <v/>
      </c>
    </row>
    <row r="48">
      <c r="A48" t="inlineStr">
        <is>
          <t>Fase 5 · Saga del Multiverso</t>
        </is>
      </c>
      <c r="B48">
        <f>COUNTIF(UCM[Fase],A48)</f>
        <v/>
      </c>
      <c r="C48" s="5">
        <f>IFERROR(AVERAGEIF(UCM[Fase],A48,UCM[Nota]),"")</f>
        <v/>
      </c>
      <c r="D48" s="25">
        <f>SUMIF(UCM[Fase],A48,UCM[Presupuesto ($)])</f>
        <v/>
      </c>
      <c r="E48" s="25">
        <f>SUMIF(UCM[Fase],A48,UCM[Mundial ($)])</f>
        <v/>
      </c>
      <c r="F48" s="28">
        <f>IFERROR(E48/D48,"")</f>
        <v/>
      </c>
    </row>
    <row r="49">
      <c r="A49" t="inlineStr">
        <is>
          <t>Fase 6 · Saga del Multiverso</t>
        </is>
      </c>
      <c r="B49">
        <f>COUNTIF(UCM[Fase],A49)</f>
        <v/>
      </c>
      <c r="C49" s="5">
        <f>IFERROR(AVERAGEIF(UCM[Fase],A49,UCM[Nota]),"")</f>
        <v/>
      </c>
      <c r="D49" s="25">
        <f>SUMIF(UCM[Fase],A49,UCM[Presupuesto ($)])</f>
        <v/>
      </c>
      <c r="E49" s="25">
        <f>SUMIF(UCM[Fase],A49,UCM[Mundial ($)])</f>
        <v/>
      </c>
      <c r="F49" s="28">
        <f>IFERROR(E49/D49,"")</f>
        <v/>
      </c>
    </row>
  </sheetData>
  <conditionalFormatting sqref="E2:E39">
    <cfRule type="colorScale" priority="1">
      <colorScale>
        <cfvo type="num" val="0"/>
        <cfvo type="num" val="5.5"/>
        <cfvo type="num" val="10"/>
        <color rgb="00F8696B"/>
        <color rgb="00FFE08A"/>
        <color rgb="005DBB7A"/>
      </colorScale>
    </cfRule>
  </conditionalFormatting>
  <conditionalFormatting sqref="J2:J39">
    <cfRule type="dataBar" priority="2">
      <dataBar>
        <cfvo type="min"/>
        <cfvo type="max"/>
        <color rgb="005DBB7A"/>
      </dataBar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40" customWidth="1" min="3" max="3"/>
    <col width="18" customWidth="1" min="4" max="4"/>
  </cols>
  <sheetData>
    <row r="1" ht="22" customHeight="1">
      <c r="A1" s="3" t="inlineStr">
        <is>
          <t>Título</t>
        </is>
      </c>
      <c r="B1" s="3" t="inlineStr">
        <is>
          <t>Año</t>
        </is>
      </c>
      <c r="C1" s="3" t="inlineStr">
        <is>
          <t>Motivo</t>
        </is>
      </c>
      <c r="D1" s="3" t="inlineStr">
        <is>
          <t>Añadido</t>
        </is>
      </c>
    </row>
    <row r="2">
      <c r="A2" t="inlineStr">
        <is>
          <t>Spider-Man 5</t>
        </is>
      </c>
      <c r="B2" s="4" t="n"/>
      <c r="C2" t="inlineStr">
        <is>
          <t>UCM · Fase 7</t>
        </is>
      </c>
      <c r="D2" t="inlineStr">
        <is>
          <t>2026-09-27</t>
        </is>
      </c>
    </row>
    <row r="3">
      <c r="A3" t="inlineStr">
        <is>
          <t>Black Panther 3</t>
        </is>
      </c>
      <c r="B3" s="4" t="n"/>
      <c r="C3" t="inlineStr">
        <is>
          <t>UCM · Fase 7</t>
        </is>
      </c>
      <c r="D3" t="inlineStr">
        <is>
          <t>2026-09-27</t>
        </is>
      </c>
    </row>
    <row r="4">
      <c r="A4" t="inlineStr">
        <is>
          <t>X-Men</t>
        </is>
      </c>
      <c r="B4" s="4" t="n"/>
      <c r="C4" t="inlineStr">
        <is>
          <t>UCM · Fase 7</t>
        </is>
      </c>
      <c r="D4" t="inlineStr">
        <is>
          <t>2026-09-27</t>
        </is>
      </c>
    </row>
    <row r="5">
      <c r="A5" t="inlineStr">
        <is>
          <t>Vengadores: Secret Wars</t>
        </is>
      </c>
      <c r="B5" s="4" t="n">
        <v>2027</v>
      </c>
      <c r="C5" t="inlineStr">
        <is>
          <t>UCM · Fase 6 · Saga del Multiverso</t>
        </is>
      </c>
      <c r="D5" t="inlineStr">
        <is>
          <t>2026-09-27</t>
        </is>
      </c>
    </row>
    <row r="6">
      <c r="A6" t="inlineStr">
        <is>
          <t>Vengadores: Doomsday</t>
        </is>
      </c>
      <c r="B6" s="4" t="n">
        <v>2026</v>
      </c>
      <c r="C6" t="inlineStr">
        <is>
          <t>UCM · Fase 6 · Saga del Multiverso</t>
        </is>
      </c>
      <c r="D6" t="inlineStr">
        <is>
          <t>2026-09-27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28" customWidth="1" min="4" max="4"/>
    <col width="30" customWidth="1" min="5" max="5"/>
    <col width="16" customWidth="1" min="6" max="6"/>
    <col width="10" customWidth="1" min="7" max="7"/>
  </cols>
  <sheetData>
    <row r="1" ht="22" customHeight="1">
      <c r="A1" s="3" t="inlineStr">
        <is>
          <t>Fecha</t>
        </is>
      </c>
      <c r="B1" s="3" t="inlineStr">
        <is>
          <t>Título</t>
        </is>
      </c>
      <c r="C1" s="3" t="inlineStr">
        <is>
          <t>Título original</t>
        </is>
      </c>
      <c r="D1" s="3" t="inlineStr">
        <is>
          <t>Director</t>
        </is>
      </c>
      <c r="E1" s="3" t="inlineStr">
        <is>
          <t>Géneros</t>
        </is>
      </c>
      <c r="F1" s="3" t="inlineStr">
        <is>
          <t>País</t>
        </is>
      </c>
      <c r="G1" s="3" t="inlineStr">
        <is>
          <t>Destacado</t>
        </is>
      </c>
    </row>
    <row r="2">
      <c r="A2" s="6" t="n">
        <v>46297</v>
      </c>
      <c r="B2" t="inlineStr">
        <is>
          <t>Digger</t>
        </is>
      </c>
      <c r="C2" t="inlineStr">
        <is>
          <t>Digger</t>
        </is>
      </c>
      <c r="D2" t="inlineStr">
        <is>
          <t>Alejandro González Iñárritu</t>
        </is>
      </c>
      <c r="E2" t="inlineStr">
        <is>
          <t>Comedia</t>
        </is>
      </c>
      <c r="F2" t="inlineStr">
        <is>
          <t>Estados Unidos</t>
        </is>
      </c>
      <c r="G2" t="inlineStr">
        <is>
          <t>★</t>
        </is>
      </c>
    </row>
    <row r="3">
      <c r="A3" s="6" t="n">
        <v>46297</v>
      </c>
      <c r="B3" t="inlineStr">
        <is>
          <t>La leyenda de la ballena cantora</t>
        </is>
      </c>
      <c r="C3" t="inlineStr">
        <is>
          <t>The Last Whale Singer</t>
        </is>
      </c>
      <c r="D3" t="inlineStr">
        <is>
          <t>Pavel Hrubos / Steven Majaury</t>
        </is>
      </c>
      <c r="E3" t="inlineStr">
        <is>
          <t>Animación</t>
        </is>
      </c>
      <c r="F3" t="inlineStr">
        <is>
          <t>Alemania</t>
        </is>
      </c>
      <c r="G3" t="inlineStr"/>
    </row>
    <row r="4">
      <c r="A4" s="6" t="n">
        <v>46297</v>
      </c>
      <c r="B4" t="inlineStr">
        <is>
          <t>Lucky Strike</t>
        </is>
      </c>
      <c r="C4" t="inlineStr">
        <is>
          <t>Lucky Strike</t>
        </is>
      </c>
      <c r="D4" t="inlineStr">
        <is>
          <t>Rod Lurie</t>
        </is>
      </c>
      <c r="E4" t="inlineStr">
        <is>
          <t>Bélico</t>
        </is>
      </c>
      <c r="F4" t="inlineStr">
        <is>
          <t>Estados Unidos</t>
        </is>
      </c>
      <c r="G4" t="inlineStr"/>
    </row>
    <row r="5">
      <c r="A5" s="6" t="n">
        <v>46297</v>
      </c>
      <c r="B5" t="inlineStr">
        <is>
          <t>Narciso</t>
        </is>
      </c>
      <c r="D5" t="inlineStr">
        <is>
          <t>Marcelo Martinessi</t>
        </is>
      </c>
      <c r="E5" t="inlineStr">
        <is>
          <t>Drama</t>
        </is>
      </c>
      <c r="F5" t="inlineStr">
        <is>
          <t>Paraguay</t>
        </is>
      </c>
      <c r="G5" t="inlineStr"/>
    </row>
    <row r="6">
      <c r="A6" s="6" t="n">
        <v>46297</v>
      </c>
      <c r="B6" t="inlineStr">
        <is>
          <t>Nuda propiedad</t>
        </is>
      </c>
      <c r="D6" t="inlineStr">
        <is>
          <t>Alberto Utrera</t>
        </is>
      </c>
      <c r="E6" t="inlineStr">
        <is>
          <t>Comedia</t>
        </is>
      </c>
      <c r="F6" t="inlineStr">
        <is>
          <t>España</t>
        </is>
      </c>
      <c r="G6" t="inlineStr"/>
    </row>
    <row r="7">
      <c r="A7" s="6" t="n">
        <v>46297</v>
      </c>
      <c r="B7" t="inlineStr">
        <is>
          <t>Sombra nómada</t>
        </is>
      </c>
      <c r="C7" t="inlineStr">
        <is>
          <t>Nomad Shadow</t>
        </is>
      </c>
      <c r="D7" t="inlineStr">
        <is>
          <t>Eimi Imanishi</t>
        </is>
      </c>
      <c r="E7" t="inlineStr">
        <is>
          <t>Drama</t>
        </is>
      </c>
      <c r="F7" t="inlineStr">
        <is>
          <t>España</t>
        </is>
      </c>
      <c r="G7" t="inlineStr"/>
    </row>
    <row r="8">
      <c r="A8" s="6" t="n">
        <v>46297</v>
      </c>
      <c r="B8" t="inlineStr">
        <is>
          <t>Sunny Dancer</t>
        </is>
      </c>
      <c r="C8" t="inlineStr">
        <is>
          <t>Sunny Dancer</t>
        </is>
      </c>
      <c r="D8" t="inlineStr">
        <is>
          <t>George Jaques</t>
        </is>
      </c>
      <c r="E8" t="inlineStr">
        <is>
          <t>Comedia</t>
        </is>
      </c>
      <c r="F8" t="inlineStr">
        <is>
          <t>Reino Unido</t>
        </is>
      </c>
      <c r="G8" t="inlineStr"/>
    </row>
    <row r="9">
      <c r="A9" s="6" t="n">
        <v>46297</v>
      </c>
      <c r="B9" t="inlineStr">
        <is>
          <t>The Umbrella Fairy</t>
        </is>
      </c>
      <c r="D9" t="inlineStr">
        <is>
          <t>Jie Shen</t>
        </is>
      </c>
      <c r="E9" t="inlineStr">
        <is>
          <t>Animación</t>
        </is>
      </c>
      <c r="F9" t="inlineStr">
        <is>
          <t>China</t>
        </is>
      </c>
      <c r="G9" t="inlineStr"/>
    </row>
    <row r="10">
      <c r="A10" s="6" t="n">
        <v>46297</v>
      </c>
      <c r="B10" t="inlineStr">
        <is>
          <t>Verity. La sombra de un engaño</t>
        </is>
      </c>
      <c r="C10" t="inlineStr">
        <is>
          <t>Verity</t>
        </is>
      </c>
      <c r="D10" t="inlineStr">
        <is>
          <t>Michael Showalter</t>
        </is>
      </c>
      <c r="E10" t="inlineStr">
        <is>
          <t>Thriller</t>
        </is>
      </c>
      <c r="F10" t="inlineStr">
        <is>
          <t>Estados Unidos</t>
        </is>
      </c>
      <c r="G10" t="inlineStr">
        <is>
          <t>★</t>
        </is>
      </c>
    </row>
    <row r="11">
      <c r="A11" s="6" t="n">
        <v>46304</v>
      </c>
      <c r="B11" t="inlineStr">
        <is>
          <t>Ceniza en la boca</t>
        </is>
      </c>
      <c r="C11" t="inlineStr">
        <is>
          <t>Ceniza en la boca</t>
        </is>
      </c>
      <c r="D11" t="inlineStr">
        <is>
          <t>Diego Luna</t>
        </is>
      </c>
      <c r="E11" t="inlineStr">
        <is>
          <t>Drama</t>
        </is>
      </c>
      <c r="F11" t="inlineStr">
        <is>
          <t>México</t>
        </is>
      </c>
      <c r="G11" t="inlineStr"/>
    </row>
    <row r="12">
      <c r="A12" s="6" t="n">
        <v>46304</v>
      </c>
      <c r="B12" t="inlineStr">
        <is>
          <t>Doraemon: Aventuras en el mundo del arte</t>
        </is>
      </c>
      <c r="C12" t="inlineStr">
        <is>
          <t>Eiga Doraemon Nobita no Esekai Monogatariaka</t>
        </is>
      </c>
      <c r="D12" t="inlineStr">
        <is>
          <t>Yukiyo Teramoto</t>
        </is>
      </c>
      <c r="E12" t="inlineStr">
        <is>
          <t>Animación</t>
        </is>
      </c>
      <c r="F12" t="inlineStr">
        <is>
          <t>Japón</t>
        </is>
      </c>
      <c r="G12" t="inlineStr"/>
    </row>
    <row r="13">
      <c r="A13" s="6" t="n">
        <v>46304</v>
      </c>
      <c r="B13" t="inlineStr">
        <is>
          <t>El precio de la red</t>
        </is>
      </c>
      <c r="C13" t="inlineStr">
        <is>
          <t>The Social Reckoning</t>
        </is>
      </c>
      <c r="D13" t="inlineStr">
        <is>
          <t>Aaron Sorkin</t>
        </is>
      </c>
      <c r="E13" t="inlineStr">
        <is>
          <t>Drama</t>
        </is>
      </c>
      <c r="F13" t="inlineStr">
        <is>
          <t>Estados Unidos</t>
        </is>
      </c>
      <c r="G13" t="inlineStr">
        <is>
          <t>★</t>
        </is>
      </c>
    </row>
    <row r="14">
      <c r="A14" s="6" t="n">
        <v>46304</v>
      </c>
      <c r="B14" t="inlineStr">
        <is>
          <t>El árbol muy muy lejano</t>
        </is>
      </c>
      <c r="C14" t="inlineStr">
        <is>
          <t>The Magic Faraway Tree</t>
        </is>
      </c>
      <c r="D14" t="inlineStr">
        <is>
          <t>Ben Gregor</t>
        </is>
      </c>
      <c r="E14" t="inlineStr">
        <is>
          <t>Aventura</t>
        </is>
      </c>
      <c r="F14" t="inlineStr">
        <is>
          <t>Reino Unido</t>
        </is>
      </c>
      <c r="G14" t="inlineStr"/>
    </row>
    <row r="15">
      <c r="A15" s="6" t="n">
        <v>46304</v>
      </c>
      <c r="B15" t="inlineStr">
        <is>
          <t>Escape Room 2</t>
        </is>
      </c>
      <c r="C15" t="inlineStr">
        <is>
          <t>Escape Room 2</t>
        </is>
      </c>
      <c r="D15" t="inlineStr">
        <is>
          <t>Hèctor Claramunt</t>
        </is>
      </c>
      <c r="E15" t="inlineStr">
        <is>
          <t>Comedia</t>
        </is>
      </c>
      <c r="F15" t="inlineStr">
        <is>
          <t>España</t>
        </is>
      </c>
      <c r="G15" t="inlineStr"/>
    </row>
    <row r="16">
      <c r="A16" s="6" t="n">
        <v>46304</v>
      </c>
      <c r="B16" t="inlineStr">
        <is>
          <t>La deriva</t>
        </is>
      </c>
      <c r="C16" t="inlineStr">
        <is>
          <t>Weichenaka</t>
        </is>
      </c>
      <c r="D16" t="inlineStr">
        <is>
          <t>Tsai Ming-liang</t>
        </is>
      </c>
      <c r="E16" t="inlineStr">
        <is>
          <t>Drama</t>
        </is>
      </c>
      <c r="F16" t="inlineStr">
        <is>
          <t>Taiwán</t>
        </is>
      </c>
      <c r="G16" t="inlineStr"/>
    </row>
    <row r="17">
      <c r="A17" s="6" t="n">
        <v>46304</v>
      </c>
      <c r="B17" t="inlineStr">
        <is>
          <t>La otra madre</t>
        </is>
      </c>
      <c r="D17" t="inlineStr">
        <is>
          <t>Rob Savage</t>
        </is>
      </c>
      <c r="E17" t="inlineStr">
        <is>
          <t>Terror</t>
        </is>
      </c>
      <c r="F17" t="inlineStr">
        <is>
          <t>Estados Unidos</t>
        </is>
      </c>
      <c r="G17" t="inlineStr"/>
    </row>
    <row r="18">
      <c r="A18" s="6" t="n">
        <v>46304</v>
      </c>
      <c r="B18" t="inlineStr">
        <is>
          <t>La vida de una mujer</t>
        </is>
      </c>
      <c r="C18" t="inlineStr">
        <is>
          <t>La vie d'une femmeaka</t>
        </is>
      </c>
      <c r="D18" t="inlineStr">
        <is>
          <t>Charline Bourgeois-Tacquet</t>
        </is>
      </c>
      <c r="E18" t="inlineStr">
        <is>
          <t>Drama</t>
        </is>
      </c>
      <c r="F18" t="inlineStr">
        <is>
          <t>Francia</t>
        </is>
      </c>
      <c r="G18" t="inlineStr"/>
    </row>
    <row r="19">
      <c r="A19" s="6" t="n">
        <v>46304</v>
      </c>
      <c r="B19" t="inlineStr">
        <is>
          <t>Las ciegas hormigas</t>
        </is>
      </c>
      <c r="C19" t="inlineStr">
        <is>
          <t>Inurri itsuak</t>
        </is>
      </c>
      <c r="D19" t="inlineStr">
        <is>
          <t>Igor Legarreta</t>
        </is>
      </c>
      <c r="E19" t="inlineStr">
        <is>
          <t>Thriller</t>
        </is>
      </c>
      <c r="F19" t="inlineStr">
        <is>
          <t>España</t>
        </is>
      </c>
      <c r="G19" t="inlineStr"/>
    </row>
    <row r="20">
      <c r="A20" s="6" t="n">
        <v>46304</v>
      </c>
      <c r="B20" t="inlineStr">
        <is>
          <t>Mascotas al rescate</t>
        </is>
      </c>
      <c r="C20" t="inlineStr">
        <is>
          <t>Falcon Expressaka</t>
        </is>
      </c>
      <c r="D20" t="inlineStr">
        <is>
          <t>Benoît Daffis / Jean-Christian Tassy</t>
        </is>
      </c>
      <c r="E20" t="inlineStr">
        <is>
          <t>Animación</t>
        </is>
      </c>
      <c r="F20" t="inlineStr">
        <is>
          <t>Francia</t>
        </is>
      </c>
      <c r="G20" t="inlineStr"/>
    </row>
    <row r="21">
      <c r="A21" s="6" t="n">
        <v>46304</v>
      </c>
      <c r="B21" t="inlineStr">
        <is>
          <t>Naza</t>
        </is>
      </c>
      <c r="D21" t="inlineStr">
        <is>
          <t>Yuval Abraham / Rachel Szor</t>
        </is>
      </c>
      <c r="E21" t="inlineStr">
        <is>
          <t>Documental</t>
        </is>
      </c>
      <c r="F21" t="inlineStr">
        <is>
          <t>Reino Unido</t>
        </is>
      </c>
      <c r="G21" t="inlineStr"/>
    </row>
    <row r="22">
      <c r="A22" s="6" t="n">
        <v>46304</v>
      </c>
      <c r="B22" t="inlineStr">
        <is>
          <t>Su propio infierno</t>
        </is>
      </c>
      <c r="C22" t="inlineStr">
        <is>
          <t>Her Private Hell</t>
        </is>
      </c>
      <c r="D22" t="inlineStr">
        <is>
          <t>Nicolas Winding Refn</t>
        </is>
      </c>
      <c r="E22" t="inlineStr">
        <is>
          <t>Thriller</t>
        </is>
      </c>
      <c r="F22" t="inlineStr">
        <is>
          <t>Dinamarca</t>
        </is>
      </c>
      <c r="G22" t="inlineStr">
        <is>
          <t>★</t>
        </is>
      </c>
    </row>
    <row r="23">
      <c r="A23" s="6" t="n">
        <v>46311</v>
      </c>
      <c r="B23" t="inlineStr">
        <is>
          <t>Boiúna: La leyenda del Amazonas</t>
        </is>
      </c>
      <c r="C23" t="inlineStr">
        <is>
          <t>Beware Boiúna</t>
        </is>
      </c>
      <c r="D23" t="inlineStr">
        <is>
          <t>Mike P. Nelson</t>
        </is>
      </c>
      <c r="E23" t="inlineStr">
        <is>
          <t>Acción</t>
        </is>
      </c>
      <c r="F23" t="inlineStr">
        <is>
          <t>Estados Unidos</t>
        </is>
      </c>
      <c r="G23" t="inlineStr"/>
    </row>
    <row r="24">
      <c r="A24" s="6" t="n">
        <v>46311</v>
      </c>
      <c r="B24" t="inlineStr">
        <is>
          <t>Cars</t>
        </is>
      </c>
      <c r="C24" t="inlineStr">
        <is>
          <t>Cars</t>
        </is>
      </c>
      <c r="D24" t="inlineStr">
        <is>
          <t>John Lasseter</t>
        </is>
      </c>
      <c r="E24" t="inlineStr">
        <is>
          <t>Animación</t>
        </is>
      </c>
      <c r="F24" t="inlineStr">
        <is>
          <t>Estados Unidos</t>
        </is>
      </c>
      <c r="G24" t="inlineStr"/>
    </row>
    <row r="25">
      <c r="A25" s="6" t="n">
        <v>46311</v>
      </c>
      <c r="B25" t="inlineStr">
        <is>
          <t>Chopin</t>
        </is>
      </c>
      <c r="C25" t="inlineStr">
        <is>
          <t>Chopin, Chopin!</t>
        </is>
      </c>
      <c r="D25" t="inlineStr">
        <is>
          <t>Michal Kwiecinski</t>
        </is>
      </c>
      <c r="E25" t="inlineStr">
        <is>
          <t>Drama</t>
        </is>
      </c>
      <c r="F25" t="inlineStr">
        <is>
          <t>Polonia</t>
        </is>
      </c>
      <c r="G25" t="inlineStr"/>
    </row>
    <row r="26">
      <c r="A26" s="6" t="n">
        <v>46311</v>
      </c>
      <c r="B26" t="inlineStr">
        <is>
          <t>El mal hijo</t>
        </is>
      </c>
      <c r="C26" t="inlineStr">
        <is>
          <t>El mal hijo</t>
        </is>
      </c>
      <c r="D26" t="inlineStr">
        <is>
          <t>Jaime Lorente</t>
        </is>
      </c>
      <c r="E26" t="inlineStr">
        <is>
          <t>Drama</t>
        </is>
      </c>
      <c r="F26" t="inlineStr">
        <is>
          <t>España</t>
        </is>
      </c>
      <c r="G26" t="inlineStr"/>
    </row>
    <row r="27">
      <c r="A27" s="6" t="n">
        <v>46311</v>
      </c>
      <c r="B27" t="inlineStr">
        <is>
          <t>Exorcism Chronicles: The Beginning</t>
        </is>
      </c>
      <c r="C27" t="inlineStr">
        <is>
          <t>Toemalogaka</t>
        </is>
      </c>
      <c r="D27" t="inlineStr">
        <is>
          <t>Kim Dong-Chul</t>
        </is>
      </c>
      <c r="E27" t="inlineStr">
        <is>
          <t>Animación</t>
        </is>
      </c>
      <c r="F27" t="inlineStr">
        <is>
          <t>Corea del Sur</t>
        </is>
      </c>
      <c r="G27" t="inlineStr"/>
    </row>
    <row r="28">
      <c r="A28" s="6" t="n">
        <v>46311</v>
      </c>
      <c r="B28" t="inlineStr">
        <is>
          <t>Kakeru (Sheep in the Box)</t>
        </is>
      </c>
      <c r="C28" t="inlineStr">
        <is>
          <t>Hako no Naka no Hitsujiaka</t>
        </is>
      </c>
      <c r="D28" t="inlineStr">
        <is>
          <t>Hirokazu Koreeda</t>
        </is>
      </c>
      <c r="E28" t="inlineStr">
        <is>
          <t>Bélico</t>
        </is>
      </c>
      <c r="F28" t="inlineStr">
        <is>
          <t>Japón</t>
        </is>
      </c>
      <c r="G28" t="inlineStr"/>
    </row>
    <row r="29">
      <c r="A29" s="6" t="n">
        <v>46311</v>
      </c>
      <c r="B29" t="inlineStr">
        <is>
          <t>La invitación.</t>
        </is>
      </c>
      <c r="C29" t="inlineStr">
        <is>
          <t>The Invite.</t>
        </is>
      </c>
      <c r="D29" t="inlineStr">
        <is>
          <t>Olivia Wilde</t>
        </is>
      </c>
      <c r="E29" t="inlineStr">
        <is>
          <t>Comedia</t>
        </is>
      </c>
      <c r="F29" t="inlineStr">
        <is>
          <t>Estados Unidos</t>
        </is>
      </c>
      <c r="G29" t="inlineStr"/>
    </row>
    <row r="30">
      <c r="A30" s="6" t="n">
        <v>46311</v>
      </c>
      <c r="B30" t="inlineStr">
        <is>
          <t>La maleta</t>
        </is>
      </c>
      <c r="C30" t="inlineStr">
        <is>
          <t>La maleta</t>
        </is>
      </c>
      <c r="D30" t="inlineStr">
        <is>
          <t>Carlos Therón</t>
        </is>
      </c>
      <c r="E30" t="inlineStr">
        <is>
          <t>Comedia</t>
        </is>
      </c>
      <c r="F30" t="inlineStr">
        <is>
          <t>España</t>
        </is>
      </c>
      <c r="G30" t="inlineStr"/>
    </row>
    <row r="31">
      <c r="A31" s="6" t="n">
        <v>46311</v>
      </c>
      <c r="B31" t="inlineStr">
        <is>
          <t>La voz quebrada</t>
        </is>
      </c>
      <c r="C31" t="inlineStr">
        <is>
          <t>La voz quebrada</t>
        </is>
      </c>
      <c r="D31" t="inlineStr">
        <is>
          <t>Manuel Menchón</t>
        </is>
      </c>
      <c r="E31" t="inlineStr">
        <is>
          <t>Drama</t>
        </is>
      </c>
      <c r="F31" t="inlineStr">
        <is>
          <t>España</t>
        </is>
      </c>
      <c r="G31" t="inlineStr"/>
    </row>
    <row r="32">
      <c r="A32" s="6" t="n">
        <v>46311</v>
      </c>
      <c r="B32" t="inlineStr">
        <is>
          <t>Monstruosa Mia</t>
        </is>
      </c>
      <c r="C32" t="inlineStr">
        <is>
          <t>Monster Mia</t>
        </is>
      </c>
      <c r="D32" t="inlineStr">
        <is>
          <t>Verena Fels</t>
        </is>
      </c>
      <c r="E32" t="inlineStr">
        <is>
          <t>Animación</t>
        </is>
      </c>
      <c r="F32" t="inlineStr">
        <is>
          <t>Alemania</t>
        </is>
      </c>
      <c r="G32" t="inlineStr"/>
    </row>
    <row r="33">
      <c r="A33" s="6" t="n">
        <v>46311</v>
      </c>
      <c r="B33" t="inlineStr">
        <is>
          <t>Nightborn</t>
        </is>
      </c>
      <c r="C33" t="inlineStr">
        <is>
          <t>Yön Lapsiaka</t>
        </is>
      </c>
      <c r="D33" t="inlineStr">
        <is>
          <t>Hanna Bergholm</t>
        </is>
      </c>
      <c r="E33" t="inlineStr">
        <is>
          <t>Drama</t>
        </is>
      </c>
      <c r="F33" t="inlineStr">
        <is>
          <t>Finlandia</t>
        </is>
      </c>
      <c r="G33" t="inlineStr"/>
    </row>
    <row r="34">
      <c r="A34" s="6" t="n">
        <v>46311</v>
      </c>
      <c r="B34" t="inlineStr">
        <is>
          <t>Parkour en Gaza</t>
        </is>
      </c>
      <c r="C34" t="inlineStr">
        <is>
          <t>Yalla Parkour</t>
        </is>
      </c>
      <c r="D34" t="inlineStr">
        <is>
          <t>Areeb Zuaiter</t>
        </is>
      </c>
      <c r="E34" t="inlineStr">
        <is>
          <t>Documental</t>
        </is>
      </c>
      <c r="F34" t="inlineStr">
        <is>
          <t>Suecia</t>
        </is>
      </c>
      <c r="G34" t="inlineStr"/>
    </row>
    <row r="35">
      <c r="A35" s="6" t="n">
        <v>46311</v>
      </c>
      <c r="B35" t="inlineStr">
        <is>
          <t>Street Fighter</t>
        </is>
      </c>
      <c r="C35" t="inlineStr">
        <is>
          <t>Street Fighter</t>
        </is>
      </c>
      <c r="D35" t="inlineStr">
        <is>
          <t>Kitao Sakurai</t>
        </is>
      </c>
      <c r="E35" t="inlineStr">
        <is>
          <t>Acción</t>
        </is>
      </c>
      <c r="F35" t="inlineStr">
        <is>
          <t>Estados Unidos</t>
        </is>
      </c>
      <c r="G35" t="inlineStr">
        <is>
          <t>★</t>
        </is>
      </c>
    </row>
    <row r="36">
      <c r="A36" s="6" t="n">
        <v>46311</v>
      </c>
      <c r="B36" t="inlineStr">
        <is>
          <t>Whalefall</t>
        </is>
      </c>
      <c r="C36" t="inlineStr">
        <is>
          <t>Whalefall</t>
        </is>
      </c>
      <c r="D36" t="inlineStr">
        <is>
          <t>Brian Duffield</t>
        </is>
      </c>
      <c r="E36" t="inlineStr">
        <is>
          <t>Thriller</t>
        </is>
      </c>
      <c r="F36" t="inlineStr">
        <is>
          <t>Estados Unidos</t>
        </is>
      </c>
      <c r="G36" t="inlineStr"/>
    </row>
    <row r="37">
      <c r="A37" s="6" t="n">
        <v>46318</v>
      </c>
      <c r="B37" t="inlineStr">
        <is>
          <t>Ali G: Kién es yo?</t>
        </is>
      </c>
      <c r="C37" t="inlineStr">
        <is>
          <t>Ali G: Who Iz I?</t>
        </is>
      </c>
      <c r="D37" t="inlineStr">
        <is>
          <t>Sacha Baron Cohen</t>
        </is>
      </c>
      <c r="E37" t="inlineStr">
        <is>
          <t>Comedia</t>
        </is>
      </c>
      <c r="F37" t="inlineStr">
        <is>
          <t>Reino Unido</t>
        </is>
      </c>
      <c r="G37" t="inlineStr"/>
    </row>
    <row r="38">
      <c r="A38" s="6" t="n">
        <v>46318</v>
      </c>
      <c r="B38" t="inlineStr">
        <is>
          <t>Arriba Tutto</t>
        </is>
      </c>
      <c r="C38" t="inlineStr">
        <is>
          <t>Arriba Tutto</t>
        </is>
      </c>
      <c r="D38" t="inlineStr">
        <is>
          <t>José Mota</t>
        </is>
      </c>
      <c r="E38" t="inlineStr">
        <is>
          <t>Comedia</t>
        </is>
      </c>
      <c r="F38" t="inlineStr">
        <is>
          <t>España</t>
        </is>
      </c>
      <c r="G38" t="inlineStr"/>
    </row>
    <row r="39">
      <c r="A39" s="6" t="n">
        <v>46318</v>
      </c>
      <c r="B39" t="inlineStr">
        <is>
          <t>Blue Heron</t>
        </is>
      </c>
      <c r="C39" t="inlineStr">
        <is>
          <t>Blue Heron</t>
        </is>
      </c>
      <c r="D39" t="inlineStr">
        <is>
          <t>Sophy Romvari</t>
        </is>
      </c>
      <c r="E39" t="inlineStr">
        <is>
          <t>Drama</t>
        </is>
      </c>
      <c r="F39" t="inlineStr">
        <is>
          <t>Canadá</t>
        </is>
      </c>
      <c r="G39" t="inlineStr"/>
    </row>
    <row r="40">
      <c r="A40" s="6" t="n">
        <v>46318</v>
      </c>
      <c r="B40" t="inlineStr">
        <is>
          <t>Clayface</t>
        </is>
      </c>
      <c r="C40" t="inlineStr">
        <is>
          <t>Clayface</t>
        </is>
      </c>
      <c r="D40" t="inlineStr">
        <is>
          <t>James Watkins</t>
        </is>
      </c>
      <c r="E40" t="inlineStr">
        <is>
          <t>Terror</t>
        </is>
      </c>
      <c r="F40" t="inlineStr">
        <is>
          <t>Estados Unidos</t>
        </is>
      </c>
      <c r="G40" t="inlineStr">
        <is>
          <t>★</t>
        </is>
      </c>
    </row>
    <row r="41">
      <c r="A41" s="6" t="n">
        <v>46318</v>
      </c>
      <c r="B41" t="inlineStr">
        <is>
          <t>El samurái y el prisionero</t>
        </is>
      </c>
      <c r="C41" t="inlineStr">
        <is>
          <t>Kokurojo (The Samurai and the Prisoner)aka</t>
        </is>
      </c>
      <c r="D41" t="inlineStr">
        <is>
          <t>Kiyoshi Kurosawa</t>
        </is>
      </c>
      <c r="E41" t="inlineStr">
        <is>
          <t>Thriller</t>
        </is>
      </c>
      <c r="F41" t="inlineStr">
        <is>
          <t>Japón</t>
        </is>
      </c>
      <c r="G41" t="inlineStr"/>
    </row>
    <row r="42">
      <c r="A42" s="6" t="n">
        <v>46318</v>
      </c>
      <c r="B42" t="inlineStr">
        <is>
          <t>El tren fluvial</t>
        </is>
      </c>
      <c r="C42" t="inlineStr">
        <is>
          <t>El tren fluvial</t>
        </is>
      </c>
      <c r="D42" t="inlineStr">
        <is>
          <t>Lorenzo Ferro / Lucas Vignale</t>
        </is>
      </c>
      <c r="E42" t="inlineStr">
        <is>
          <t>Drama</t>
        </is>
      </c>
      <c r="F42" t="inlineStr">
        <is>
          <t>Argentina</t>
        </is>
      </c>
      <c r="G42" t="inlineStr"/>
    </row>
    <row r="43">
      <c r="A43" s="6" t="n">
        <v>46318</v>
      </c>
      <c r="B43" t="inlineStr">
        <is>
          <t>Leones en invierno</t>
        </is>
      </c>
      <c r="C43" t="inlineStr">
        <is>
          <t>Leones en invierno</t>
        </is>
      </c>
      <c r="D43" t="inlineStr">
        <is>
          <t>Albert Pintó</t>
        </is>
      </c>
      <c r="E43" t="inlineStr">
        <is>
          <t>Thriller</t>
        </is>
      </c>
      <c r="F43" t="inlineStr">
        <is>
          <t>España</t>
        </is>
      </c>
      <c r="G43" t="inlineStr"/>
    </row>
    <row r="44">
      <c r="A44" s="6" t="n">
        <v>46318</v>
      </c>
      <c r="B44" t="inlineStr">
        <is>
          <t>Moscas</t>
        </is>
      </c>
      <c r="C44" t="inlineStr">
        <is>
          <t>Moscasaka</t>
        </is>
      </c>
      <c r="D44" t="inlineStr">
        <is>
          <t>Fernando Eimbcke</t>
        </is>
      </c>
      <c r="E44" t="inlineStr">
        <is>
          <t>Drama</t>
        </is>
      </c>
      <c r="F44" t="inlineStr">
        <is>
          <t>México</t>
        </is>
      </c>
      <c r="G44" t="inlineStr"/>
    </row>
    <row r="45">
      <c r="A45" s="6" t="n">
        <v>46318</v>
      </c>
      <c r="B45" t="inlineStr">
        <is>
          <t>Sentido y sensibilidad</t>
        </is>
      </c>
      <c r="C45" t="inlineStr">
        <is>
          <t>Sense and Sensibility</t>
        </is>
      </c>
      <c r="D45" t="inlineStr">
        <is>
          <t>Georgia Oakley</t>
        </is>
      </c>
      <c r="E45" t="inlineStr">
        <is>
          <t>Romance</t>
        </is>
      </c>
      <c r="F45" t="inlineStr">
        <is>
          <t>Reino Unido</t>
        </is>
      </c>
      <c r="G45" t="inlineStr"/>
    </row>
    <row r="46">
      <c r="A46" s="6" t="n">
        <v>46318</v>
      </c>
      <c r="B46" t="inlineStr">
        <is>
          <t>Superthings: La película</t>
        </is>
      </c>
      <c r="C46" t="inlineStr">
        <is>
          <t>Superthings: La película</t>
        </is>
      </c>
      <c r="D46" t="inlineStr">
        <is>
          <t>Víctor Monigote</t>
        </is>
      </c>
      <c r="E46" t="inlineStr">
        <is>
          <t>Animación</t>
        </is>
      </c>
      <c r="F46" t="inlineStr">
        <is>
          <t>España</t>
        </is>
      </c>
      <c r="G46" t="inlineStr"/>
    </row>
    <row r="47">
      <c r="A47" s="6" t="n">
        <v>46318</v>
      </c>
      <c r="B47" t="inlineStr">
        <is>
          <t>Wildwood</t>
        </is>
      </c>
      <c r="C47" t="inlineStr">
        <is>
          <t>Wildwood</t>
        </is>
      </c>
      <c r="D47" t="inlineStr">
        <is>
          <t>Travis Knight</t>
        </is>
      </c>
      <c r="E47" t="inlineStr">
        <is>
          <t>Animación</t>
        </is>
      </c>
      <c r="F47" t="inlineStr">
        <is>
          <t>Estados Unidos</t>
        </is>
      </c>
      <c r="G47" t="inlineStr"/>
    </row>
    <row r="48">
      <c r="A48" s="6" t="n">
        <v>46318</v>
      </c>
      <c r="B48" t="inlineStr">
        <is>
          <t>¿Me entiendes o te lo explico?</t>
        </is>
      </c>
      <c r="C48" t="inlineStr">
        <is>
          <t>¿Me entiendes o te lo explico?</t>
        </is>
      </c>
      <c r="D48" t="inlineStr">
        <is>
          <t>Jordi Calvet</t>
        </is>
      </c>
      <c r="E48" t="inlineStr">
        <is>
          <t>Comedia</t>
        </is>
      </c>
      <c r="F48" t="inlineStr">
        <is>
          <t>España</t>
        </is>
      </c>
      <c r="G48" t="inlineStr"/>
    </row>
    <row r="49">
      <c r="A49" s="6" t="n">
        <v>46325</v>
      </c>
      <c r="B49" t="inlineStr">
        <is>
          <t>Aniquilación</t>
        </is>
      </c>
      <c r="C49" t="inlineStr">
        <is>
          <t>Onslaught</t>
        </is>
      </c>
      <c r="D49" t="inlineStr">
        <is>
          <t>Adam Wingard</t>
        </is>
      </c>
      <c r="E49" t="inlineStr">
        <is>
          <t>Terror</t>
        </is>
      </c>
      <c r="F49" t="inlineStr">
        <is>
          <t>Estados Unidos</t>
        </is>
      </c>
      <c r="G49" t="inlineStr"/>
    </row>
    <row r="50">
      <c r="A50" s="6" t="n">
        <v>46325</v>
      </c>
      <c r="B50" t="inlineStr">
        <is>
          <t>El hombre que desafió al rey</t>
        </is>
      </c>
      <c r="C50" t="inlineStr">
        <is>
          <t>The Uprising</t>
        </is>
      </c>
      <c r="D50" t="inlineStr">
        <is>
          <t>Paul Greengrass</t>
        </is>
      </c>
      <c r="E50" t="inlineStr">
        <is>
          <t>Drama</t>
        </is>
      </c>
      <c r="F50" t="inlineStr">
        <is>
          <t>Reino Unido</t>
        </is>
      </c>
      <c r="G50" t="inlineStr"/>
    </row>
    <row r="51">
      <c r="A51" s="6" t="n">
        <v>46325</v>
      </c>
      <c r="B51" t="inlineStr">
        <is>
          <t>El mundo es ansí</t>
        </is>
      </c>
      <c r="C51" t="inlineStr">
        <is>
          <t>El mundo es ansí</t>
        </is>
      </c>
      <c r="D51" t="inlineStr">
        <is>
          <t>Miguel Ángel Calvo Buttini</t>
        </is>
      </c>
      <c r="E51" t="inlineStr">
        <is>
          <t>Drama</t>
        </is>
      </c>
      <c r="F51" t="inlineStr">
        <is>
          <t>España</t>
        </is>
      </c>
      <c r="G51" t="inlineStr"/>
    </row>
    <row r="52">
      <c r="A52" s="6" t="n">
        <v>46325</v>
      </c>
      <c r="B52" t="inlineStr">
        <is>
          <t>Esta soledad</t>
        </is>
      </c>
      <c r="C52" t="inlineStr">
        <is>
          <t>Esta soledad</t>
        </is>
      </c>
      <c r="D52" t="inlineStr">
        <is>
          <t>Javier Giner</t>
        </is>
      </c>
      <c r="E52" t="inlineStr">
        <is>
          <t>Drama</t>
        </is>
      </c>
      <c r="F52" t="inlineStr">
        <is>
          <t>España</t>
        </is>
      </c>
      <c r="G52" t="inlineStr"/>
    </row>
    <row r="53">
      <c r="A53" s="6" t="n">
        <v>46325</v>
      </c>
      <c r="B53" t="inlineStr">
        <is>
          <t>Gungo y los juegos cavernícolas</t>
        </is>
      </c>
      <c r="C53" t="inlineStr">
        <is>
          <t>Gungo y los juegos cavernícolas</t>
        </is>
      </c>
      <c r="D53" t="inlineStr">
        <is>
          <t>Gabriel Riva Palacio Alatriste / Rodolfo Riva-Palacio Alatriste</t>
        </is>
      </c>
      <c r="E53" t="inlineStr">
        <is>
          <t>Animación</t>
        </is>
      </c>
      <c r="F53" t="inlineStr">
        <is>
          <t>México</t>
        </is>
      </c>
      <c r="G53" t="inlineStr"/>
    </row>
    <row r="54">
      <c r="A54" s="6" t="n">
        <v>46325</v>
      </c>
      <c r="B54" t="inlineStr">
        <is>
          <t>Hope</t>
        </is>
      </c>
      <c r="C54" t="inlineStr">
        <is>
          <t>Hopeaka</t>
        </is>
      </c>
      <c r="D54" t="inlineStr">
        <is>
          <t>Na Hong-jin</t>
        </is>
      </c>
      <c r="E54" t="inlineStr">
        <is>
          <t>Acción</t>
        </is>
      </c>
      <c r="F54" t="inlineStr">
        <is>
          <t>Corea del Sur</t>
        </is>
      </c>
      <c r="G54" t="inlineStr">
        <is>
          <t>★</t>
        </is>
      </c>
    </row>
    <row r="55">
      <c r="A55" s="6" t="n">
        <v>46325</v>
      </c>
      <c r="B55" t="inlineStr">
        <is>
          <t>Karateka</t>
        </is>
      </c>
      <c r="C55" t="inlineStr">
        <is>
          <t>Karateka</t>
        </is>
      </c>
      <c r="D55" t="inlineStr">
        <is>
          <t>Aritz Moreno</t>
        </is>
      </c>
      <c r="E55" t="inlineStr">
        <is>
          <t>Drama</t>
        </is>
      </c>
      <c r="F55" t="inlineStr">
        <is>
          <t>España</t>
        </is>
      </c>
      <c r="G55" t="inlineStr"/>
    </row>
    <row r="56">
      <c r="A56" s="6" t="n">
        <v>46325</v>
      </c>
      <c r="B56" t="inlineStr">
        <is>
          <t>Klara y el sol</t>
        </is>
      </c>
      <c r="C56" t="inlineStr">
        <is>
          <t>Klara and the Sun</t>
        </is>
      </c>
      <c r="D56" t="inlineStr">
        <is>
          <t>Taika Waititi</t>
        </is>
      </c>
      <c r="E56" t="inlineStr">
        <is>
          <t>Bélico</t>
        </is>
      </c>
      <c r="F56" t="inlineStr">
        <is>
          <t>Estados Unidos</t>
        </is>
      </c>
      <c r="G56" t="inlineStr">
        <is>
          <t>★</t>
        </is>
      </c>
    </row>
    <row r="57">
      <c r="A57" s="6" t="n">
        <v>46325</v>
      </c>
      <c r="B57" t="inlineStr">
        <is>
          <t>La oveja Shaun: Misión calabaza</t>
        </is>
      </c>
      <c r="C57" t="inlineStr">
        <is>
          <t>Shaun the Sheep: The Beast of Mossy Bottom</t>
        </is>
      </c>
      <c r="D57" t="inlineStr">
        <is>
          <t>Steve Cox / Matthew Walker</t>
        </is>
      </c>
      <c r="E57" t="inlineStr">
        <is>
          <t>Animación</t>
        </is>
      </c>
      <c r="F57" t="inlineStr">
        <is>
          <t>Reino Unido</t>
        </is>
      </c>
      <c r="G57" t="inlineStr"/>
    </row>
    <row r="58">
      <c r="A58" s="6" t="n">
        <v>46325</v>
      </c>
      <c r="B58" t="inlineStr">
        <is>
          <t>Leviticus</t>
        </is>
      </c>
      <c r="C58" t="inlineStr">
        <is>
          <t>Leviticus</t>
        </is>
      </c>
      <c r="D58" t="inlineStr">
        <is>
          <t>Adrian Chiarella</t>
        </is>
      </c>
      <c r="E58" t="inlineStr">
        <is>
          <t>Terror</t>
        </is>
      </c>
      <c r="F58" t="inlineStr">
        <is>
          <t>Australia</t>
        </is>
      </c>
      <c r="G58" t="inlineStr"/>
    </row>
    <row r="59">
      <c r="A59" s="6" t="n">
        <v>46325</v>
      </c>
      <c r="B59" t="inlineStr">
        <is>
          <t>Tiempos de ilusión</t>
        </is>
      </c>
      <c r="C59" t="inlineStr">
        <is>
          <t>Juste une illusion</t>
        </is>
      </c>
      <c r="D59" t="inlineStr">
        <is>
          <t>Olivier Nakache / Eric Toledano</t>
        </is>
      </c>
      <c r="E59" t="inlineStr">
        <is>
          <t>Comedia</t>
        </is>
      </c>
      <c r="F59" t="inlineStr">
        <is>
          <t>Francia</t>
        </is>
      </c>
      <c r="G59" t="inlineStr"/>
    </row>
    <row r="60">
      <c r="A60" s="6" t="n">
        <v>46325</v>
      </c>
      <c r="B60" t="inlineStr">
        <is>
          <t>Wicker</t>
        </is>
      </c>
      <c r="C60" t="inlineStr">
        <is>
          <t>Wicker</t>
        </is>
      </c>
      <c r="D60" t="inlineStr">
        <is>
          <t>Alex Huston Fischer / Eleanor Wilson</t>
        </is>
      </c>
      <c r="E60" t="inlineStr">
        <is>
          <t>Comedia</t>
        </is>
      </c>
      <c r="F60" t="inlineStr">
        <is>
          <t>Estados Unidos</t>
        </is>
      </c>
      <c r="G60" t="inlineStr"/>
    </row>
    <row r="61">
      <c r="A61" s="6" t="n">
        <v>46325</v>
      </c>
      <c r="B61" t="inlineStr">
        <is>
          <t>Willow y las guardianas de los cuatro elementos</t>
        </is>
      </c>
      <c r="C61" t="inlineStr">
        <is>
          <t>Ein Mädchen namens Willowaka</t>
        </is>
      </c>
      <c r="D61" t="inlineStr">
        <is>
          <t>Mike Marzuk</t>
        </is>
      </c>
      <c r="E61" t="inlineStr">
        <is>
          <t>Fantasía</t>
        </is>
      </c>
      <c r="F61" t="inlineStr">
        <is>
          <t>Alemania</t>
        </is>
      </c>
      <c r="G61" t="inlineStr"/>
    </row>
    <row r="62">
      <c r="A62" s="6" t="n">
        <v>46332</v>
      </c>
      <c r="B62" t="inlineStr">
        <is>
          <t>El gato con sombrero</t>
        </is>
      </c>
      <c r="C62" t="inlineStr">
        <is>
          <t>The Cat in the Hat</t>
        </is>
      </c>
      <c r="D62" t="inlineStr">
        <is>
          <t>Alessandro Carloni / Erica Rivinoja</t>
        </is>
      </c>
      <c r="E62" t="inlineStr">
        <is>
          <t>Animación</t>
        </is>
      </c>
      <c r="F62" t="inlineStr">
        <is>
          <t>Estados Unidos</t>
        </is>
      </c>
      <c r="G62" t="inlineStr"/>
    </row>
    <row r="63">
      <c r="A63" s="6" t="n">
        <v>46332</v>
      </c>
      <c r="B63" t="inlineStr">
        <is>
          <t>El misterio de Lucy Lost</t>
        </is>
      </c>
      <c r="C63" t="inlineStr">
        <is>
          <t>Le Mystère Lucy Lost</t>
        </is>
      </c>
      <c r="D63" t="inlineStr">
        <is>
          <t>Olivier Clert</t>
        </is>
      </c>
      <c r="E63" t="inlineStr">
        <is>
          <t>Animación</t>
        </is>
      </c>
      <c r="F63" t="inlineStr">
        <is>
          <t>Francia</t>
        </is>
      </c>
      <c r="G63" t="inlineStr"/>
    </row>
    <row r="64">
      <c r="A64" s="6" t="n">
        <v>46332</v>
      </c>
      <c r="B64" t="inlineStr">
        <is>
          <t>Godzilla Minus Zero</t>
        </is>
      </c>
      <c r="C64" t="inlineStr">
        <is>
          <t>Gojira Mainasu Zeroaka</t>
        </is>
      </c>
      <c r="D64" t="inlineStr">
        <is>
          <t>Takashi Yamazaki</t>
        </is>
      </c>
      <c r="E64" t="inlineStr">
        <is>
          <t>Fantasía</t>
        </is>
      </c>
      <c r="F64" t="inlineStr">
        <is>
          <t>Japón</t>
        </is>
      </c>
      <c r="G64" t="inlineStr">
        <is>
          <t>★</t>
        </is>
      </c>
    </row>
    <row r="65">
      <c r="A65" s="6" t="n">
        <v>46332</v>
      </c>
      <c r="B65" t="inlineStr">
        <is>
          <t>Los miserables</t>
        </is>
      </c>
      <c r="C65" t="inlineStr">
        <is>
          <t>Les misérables</t>
        </is>
      </c>
      <c r="D65" t="inlineStr">
        <is>
          <t>Fred Cavayé</t>
        </is>
      </c>
      <c r="E65" t="inlineStr">
        <is>
          <t>Drama</t>
        </is>
      </c>
      <c r="F65" t="inlineStr">
        <is>
          <t>Francia</t>
        </is>
      </c>
      <c r="G65" t="inlineStr"/>
    </row>
    <row r="66">
      <c r="A66" s="6" t="n">
        <v>46332</v>
      </c>
      <c r="B66" t="inlineStr">
        <is>
          <t>Persiguiendo a Michael</t>
        </is>
      </c>
      <c r="C66" t="inlineStr">
        <is>
          <t>Persiguiendo a Michael</t>
        </is>
      </c>
      <c r="D66" t="inlineStr">
        <is>
          <t>Juana Macías</t>
        </is>
      </c>
      <c r="E66" t="inlineStr">
        <is>
          <t>Comedia</t>
        </is>
      </c>
      <c r="F66" t="inlineStr">
        <is>
          <t>España</t>
        </is>
      </c>
      <c r="G66" t="inlineStr"/>
    </row>
    <row r="67">
      <c r="A67" s="6" t="n">
        <v>46332</v>
      </c>
      <c r="B67" t="inlineStr">
        <is>
          <t>Ruega por nosotras</t>
        </is>
      </c>
      <c r="C67" t="inlineStr">
        <is>
          <t>Ruega por nosotras</t>
        </is>
      </c>
      <c r="D67" t="inlineStr">
        <is>
          <t>Daniel Monzón</t>
        </is>
      </c>
      <c r="E67" t="inlineStr">
        <is>
          <t>Drama</t>
        </is>
      </c>
      <c r="F67" t="inlineStr">
        <is>
          <t>España</t>
        </is>
      </c>
      <c r="G67" t="inlineStr"/>
    </row>
    <row r="68">
      <c r="A68" s="6" t="n">
        <v>46332</v>
      </c>
      <c r="B68" t="inlineStr">
        <is>
          <t>Sacamantecas</t>
        </is>
      </c>
      <c r="C68" t="inlineStr">
        <is>
          <t>Sacamantecas</t>
        </is>
      </c>
      <c r="D68" t="inlineStr">
        <is>
          <t>David P. Sañudo</t>
        </is>
      </c>
      <c r="E68" t="inlineStr">
        <is>
          <t>Thriller</t>
        </is>
      </c>
      <c r="F68" t="inlineStr">
        <is>
          <t>España</t>
        </is>
      </c>
      <c r="G68" t="inlineStr"/>
    </row>
    <row r="69">
      <c r="A69" s="6" t="n">
        <v>46332</v>
      </c>
      <c r="B69" t="inlineStr">
        <is>
          <t>Sanguine</t>
        </is>
      </c>
      <c r="C69" t="inlineStr">
        <is>
          <t>Sanguineaka</t>
        </is>
      </c>
      <c r="D69" t="inlineStr">
        <is>
          <t>Marion Le Corroller</t>
        </is>
      </c>
      <c r="E69" t="inlineStr">
        <is>
          <t>Terror</t>
        </is>
      </c>
      <c r="F69" t="inlineStr">
        <is>
          <t>Francia</t>
        </is>
      </c>
      <c r="G69" t="inlineStr"/>
    </row>
    <row r="70">
      <c r="A70" s="6" t="n">
        <v>46339</v>
      </c>
      <c r="B70" t="inlineStr">
        <is>
          <t>Cómo robar un banco</t>
        </is>
      </c>
      <c r="C70" t="inlineStr">
        <is>
          <t>How to Rob a Bank</t>
        </is>
      </c>
      <c r="D70" t="inlineStr">
        <is>
          <t>David Leitch</t>
        </is>
      </c>
      <c r="E70" t="inlineStr">
        <is>
          <t>Thriller</t>
        </is>
      </c>
      <c r="F70" t="inlineStr">
        <is>
          <t>Estados Unidos</t>
        </is>
      </c>
      <c r="G70" t="inlineStr"/>
    </row>
    <row r="71">
      <c r="A71" s="6" t="n">
        <v>46339</v>
      </c>
      <c r="B71" t="inlineStr">
        <is>
          <t>El niño</t>
        </is>
      </c>
      <c r="C71" t="inlineStr">
        <is>
          <t>El niño</t>
        </is>
      </c>
      <c r="D71" t="inlineStr">
        <is>
          <t>Mariano Barroso</t>
        </is>
      </c>
      <c r="E71" t="inlineStr">
        <is>
          <t>Drama</t>
        </is>
      </c>
      <c r="F71" t="inlineStr">
        <is>
          <t>España</t>
        </is>
      </c>
      <c r="G71" t="inlineStr"/>
    </row>
    <row r="72">
      <c r="A72" s="6" t="n">
        <v>46339</v>
      </c>
      <c r="B72" t="inlineStr">
        <is>
          <t>Jaleos</t>
        </is>
      </c>
      <c r="C72" t="inlineStr">
        <is>
          <t>Jaleos</t>
        </is>
      </c>
      <c r="D72" t="inlineStr">
        <is>
          <t>Isaki Lacuesta</t>
        </is>
      </c>
      <c r="E72" t="inlineStr">
        <is>
          <t>Documental</t>
        </is>
      </c>
      <c r="F72" t="inlineStr">
        <is>
          <t>España</t>
        </is>
      </c>
      <c r="G72" t="inlineStr"/>
    </row>
    <row r="73">
      <c r="A73" s="6" t="n">
        <v>46339</v>
      </c>
      <c r="B73" t="inlineStr">
        <is>
          <t>La violinista</t>
        </is>
      </c>
      <c r="C73" t="inlineStr">
        <is>
          <t>The Violinist</t>
        </is>
      </c>
      <c r="D73" t="inlineStr">
        <is>
          <t>Ervin Han / Raúl García</t>
        </is>
      </c>
      <c r="E73" t="inlineStr">
        <is>
          <t>Animación</t>
        </is>
      </c>
      <c r="F73" t="inlineStr">
        <is>
          <t>Singapur</t>
        </is>
      </c>
      <c r="G73" t="inlineStr"/>
    </row>
    <row r="74">
      <c r="A74" s="6" t="n">
        <v>46339</v>
      </c>
      <c r="B74" t="inlineStr">
        <is>
          <t>Los rivales de Amziah King</t>
        </is>
      </c>
      <c r="C74" t="inlineStr">
        <is>
          <t>The Rivals of Amziah King</t>
        </is>
      </c>
      <c r="D74" t="inlineStr">
        <is>
          <t>Andrew Patterson</t>
        </is>
      </c>
      <c r="E74" t="inlineStr">
        <is>
          <t>Thriller</t>
        </is>
      </c>
      <c r="F74" t="inlineStr">
        <is>
          <t>Estados Unidos</t>
        </is>
      </c>
      <c r="G74" t="inlineStr">
        <is>
          <t>★</t>
        </is>
      </c>
    </row>
    <row r="75">
      <c r="A75" s="6" t="n">
        <v>46339</v>
      </c>
      <c r="B75" t="inlineStr">
        <is>
          <t>Ratones al ataque: Operación Navidad</t>
        </is>
      </c>
      <c r="C75" t="inlineStr">
        <is>
          <t>Hvis ingen går i fellaaka</t>
        </is>
      </c>
      <c r="D75" t="inlineStr">
        <is>
          <t>Henrik Martin Dahlsbakken</t>
        </is>
      </c>
      <c r="E75" t="inlineStr">
        <is>
          <t>Animación</t>
        </is>
      </c>
      <c r="F75" t="inlineStr">
        <is>
          <t>Noruega</t>
        </is>
      </c>
      <c r="G75" t="inlineStr"/>
    </row>
    <row r="76">
      <c r="A76" s="6" t="n">
        <v>46339</v>
      </c>
      <c r="B76" t="inlineStr">
        <is>
          <t>Scrooge y los fantasmas de la Navidad</t>
        </is>
      </c>
      <c r="C76" t="inlineStr">
        <is>
          <t>Ebenezer</t>
        </is>
      </c>
      <c r="D76" t="inlineStr">
        <is>
          <t>Ti West</t>
        </is>
      </c>
      <c r="E76" t="inlineStr">
        <is>
          <t>Fantasía</t>
        </is>
      </c>
      <c r="F76" t="inlineStr">
        <is>
          <t>Estados Unidos</t>
        </is>
      </c>
      <c r="G76" t="inlineStr"/>
    </row>
    <row r="77">
      <c r="A77" s="6" t="n">
        <v>46339</v>
      </c>
      <c r="B77" t="inlineStr">
        <is>
          <t>Victorian Psycho</t>
        </is>
      </c>
      <c r="C77" t="inlineStr">
        <is>
          <t>Victorian Psycho</t>
        </is>
      </c>
      <c r="D77" t="inlineStr">
        <is>
          <t>Zachary Wigon</t>
        </is>
      </c>
      <c r="E77" t="inlineStr">
        <is>
          <t>Terror</t>
        </is>
      </c>
      <c r="F77" t="inlineStr">
        <is>
          <t>Reino Unido</t>
        </is>
      </c>
      <c r="G77" t="inlineStr"/>
    </row>
    <row r="78">
      <c r="A78" s="6" t="n">
        <v>46339</v>
      </c>
      <c r="B78" t="inlineStr">
        <is>
          <t>Wild Horse Nine</t>
        </is>
      </c>
      <c r="C78" t="inlineStr">
        <is>
          <t>Wild Horse Nine</t>
        </is>
      </c>
      <c r="D78" t="inlineStr">
        <is>
          <t>Martin McDonagh</t>
        </is>
      </c>
      <c r="E78" t="inlineStr">
        <is>
          <t>Misterio</t>
        </is>
      </c>
      <c r="F78" t="inlineStr">
        <is>
          <t>Reino Unido</t>
        </is>
      </c>
      <c r="G78" t="inlineStr">
        <is>
          <t>★</t>
        </is>
      </c>
    </row>
    <row r="79">
      <c r="A79" s="6" t="n">
        <v>46346</v>
      </c>
      <c r="B79" t="inlineStr">
        <is>
          <t>Citas: La película</t>
        </is>
      </c>
      <c r="C79" t="inlineStr">
        <is>
          <t>Citas: La película</t>
        </is>
      </c>
      <c r="D79" t="inlineStr">
        <is>
          <t>Gemma Ferraté</t>
        </is>
      </c>
      <c r="E79" t="inlineStr">
        <is>
          <t>Comedia</t>
        </is>
      </c>
      <c r="F79" t="inlineStr">
        <is>
          <t>España</t>
        </is>
      </c>
      <c r="G79" t="inlineStr"/>
    </row>
    <row r="80">
      <c r="A80" s="6" t="n">
        <v>46346</v>
      </c>
      <c r="B80" t="inlineStr">
        <is>
          <t>Los juegos del hambre: Amanecer en la cosecha</t>
        </is>
      </c>
      <c r="C80" t="inlineStr">
        <is>
          <t>The Hunger Games: Sunrise on the Reaping</t>
        </is>
      </c>
      <c r="D80" t="inlineStr">
        <is>
          <t>Francis Lawrence</t>
        </is>
      </c>
      <c r="E80" t="inlineStr">
        <is>
          <t>Bélico</t>
        </is>
      </c>
      <c r="F80" t="inlineStr">
        <is>
          <t>Estados Unidos</t>
        </is>
      </c>
      <c r="G80" t="inlineStr">
        <is>
          <t>★</t>
        </is>
      </c>
    </row>
    <row r="81">
      <c r="A81" s="6" t="n">
        <v>46367</v>
      </c>
      <c r="B81" t="inlineStr">
        <is>
          <t>Entrega al límite</t>
        </is>
      </c>
      <c r="C81" t="inlineStr">
        <is>
          <t>Runner</t>
        </is>
      </c>
      <c r="D81" t="inlineStr">
        <is>
          <t>Scott Waugh</t>
        </is>
      </c>
      <c r="E81" t="inlineStr">
        <is>
          <t>Thriller</t>
        </is>
      </c>
      <c r="F81" t="inlineStr">
        <is>
          <t>Estados Unidos</t>
        </is>
      </c>
      <c r="G81" t="inlineStr"/>
    </row>
    <row r="82">
      <c r="A82" s="6" t="n">
        <v>46374</v>
      </c>
      <c r="B82" t="inlineStr">
        <is>
          <t>Cartas amarillas</t>
        </is>
      </c>
      <c r="C82" t="inlineStr">
        <is>
          <t>Gelbe Briefe</t>
        </is>
      </c>
      <c r="D82" t="inlineStr">
        <is>
          <t>İlker Çatak</t>
        </is>
      </c>
      <c r="E82" t="inlineStr">
        <is>
          <t>Drama</t>
        </is>
      </c>
      <c r="F82" t="inlineStr">
        <is>
          <t>Alemania</t>
        </is>
      </c>
      <c r="G82" t="inlineStr"/>
    </row>
    <row r="83">
      <c r="A83" s="6" t="n">
        <v>46374</v>
      </c>
      <c r="B83" t="inlineStr">
        <is>
          <t>Dune: Parte Tres</t>
        </is>
      </c>
      <c r="C83" t="inlineStr">
        <is>
          <t>Dune: Part Three</t>
        </is>
      </c>
      <c r="D83" t="inlineStr">
        <is>
          <t>Denis Villeneuve</t>
        </is>
      </c>
      <c r="E83" t="inlineStr">
        <is>
          <t>Ciencia ficción, Aventura, Drama</t>
        </is>
      </c>
      <c r="F83" t="inlineStr">
        <is>
          <t>Estados Unidos</t>
        </is>
      </c>
      <c r="G83" t="inlineStr">
        <is>
          <t>★</t>
        </is>
      </c>
    </row>
    <row r="84">
      <c r="A84" s="6" t="n">
        <v>46374</v>
      </c>
      <c r="B84" t="inlineStr">
        <is>
          <t>Vengadores: Doomsday</t>
        </is>
      </c>
      <c r="C84" t="inlineStr">
        <is>
          <t>Avengers: Doomsday</t>
        </is>
      </c>
      <c r="D84" t="inlineStr">
        <is>
          <t>Anthony Russo / Joe Russo</t>
        </is>
      </c>
      <c r="E84" t="inlineStr">
        <is>
          <t>Superhéroes, Acción, Ciencia ficción</t>
        </is>
      </c>
      <c r="F84" t="inlineStr">
        <is>
          <t>Estados Unidos</t>
        </is>
      </c>
      <c r="G84" t="inlineStr">
        <is>
          <t>★</t>
        </is>
      </c>
    </row>
    <row r="85">
      <c r="A85" s="6" t="n">
        <v>46381</v>
      </c>
      <c r="B85" t="inlineStr">
        <is>
          <t>Historias paralelas</t>
        </is>
      </c>
      <c r="C85" t="inlineStr">
        <is>
          <t>Parallel Tales</t>
        </is>
      </c>
      <c r="D85" t="inlineStr">
        <is>
          <t>Asghar Farhadi</t>
        </is>
      </c>
      <c r="E85" t="inlineStr">
        <is>
          <t>Drama</t>
        </is>
      </c>
      <c r="F85" t="inlineStr">
        <is>
          <t>Francia</t>
        </is>
      </c>
      <c r="G85" t="inlineStr"/>
    </row>
    <row r="86">
      <c r="A86" s="6" t="n">
        <v>46381</v>
      </c>
      <c r="B86" t="inlineStr">
        <is>
          <t>Jumanji: Mundo abierto</t>
        </is>
      </c>
      <c r="C86" t="inlineStr">
        <is>
          <t>Jumanji 3</t>
        </is>
      </c>
      <c r="D86" t="inlineStr">
        <is>
          <t>Jake Kasdan</t>
        </is>
      </c>
      <c r="E86" t="inlineStr">
        <is>
          <t>Aventura, Comedia, Acción</t>
        </is>
      </c>
      <c r="G86" t="inlineStr">
        <is>
          <t>★</t>
        </is>
      </c>
    </row>
    <row r="87">
      <c r="A87" s="6" t="n">
        <v>46381</v>
      </c>
      <c r="B87" t="inlineStr">
        <is>
          <t>Werwulf</t>
        </is>
      </c>
      <c r="C87" t="inlineStr">
        <is>
          <t>Werwulf</t>
        </is>
      </c>
      <c r="D87" t="inlineStr">
        <is>
          <t>Robert Eggers</t>
        </is>
      </c>
      <c r="E87" t="inlineStr">
        <is>
          <t>Terror, Histórico</t>
        </is>
      </c>
      <c r="G87" t="inlineStr">
        <is>
          <t>★</t>
        </is>
      </c>
    </row>
    <row r="88">
      <c r="A88" s="6" t="n">
        <v>46409</v>
      </c>
      <c r="B88" t="inlineStr">
        <is>
          <t>Yo soy Rocky</t>
        </is>
      </c>
      <c r="C88" t="inlineStr">
        <is>
          <t>I Play Rocky</t>
        </is>
      </c>
      <c r="D88" t="inlineStr">
        <is>
          <t>Peter Farrelly</t>
        </is>
      </c>
      <c r="E88" t="inlineStr">
        <is>
          <t>Biográfico, Drama</t>
        </is>
      </c>
      <c r="G88" t="inlineStr"/>
    </row>
    <row r="89">
      <c r="A89" s="6" t="n">
        <v>46430</v>
      </c>
      <c r="B89" t="inlineStr">
        <is>
          <t>El exorcista</t>
        </is>
      </c>
      <c r="C89" t="inlineStr">
        <is>
          <t>The Exorcist</t>
        </is>
      </c>
      <c r="D89" t="inlineStr">
        <is>
          <t>Mike Flanagan</t>
        </is>
      </c>
      <c r="E89" t="inlineStr">
        <is>
          <t>Terror</t>
        </is>
      </c>
      <c r="G89" t="inlineStr"/>
    </row>
    <row r="90">
      <c r="A90" s="6" t="n">
        <v>46465</v>
      </c>
      <c r="B90" t="inlineStr">
        <is>
          <t>Sonic 4: La película</t>
        </is>
      </c>
      <c r="C90" t="inlineStr">
        <is>
          <t>Sonic the Hedgehog 4</t>
        </is>
      </c>
      <c r="E90" t="inlineStr">
        <is>
          <t>Acción, Aventura, Comedia</t>
        </is>
      </c>
      <c r="G90" t="inlineStr"/>
    </row>
    <row r="91">
      <c r="A91" s="6" t="n">
        <v>46472</v>
      </c>
      <c r="B91" t="inlineStr">
        <is>
          <t>Godzilla x Kong: Supernova</t>
        </is>
      </c>
      <c r="C91" t="inlineStr">
        <is>
          <t>Godzilla x Kong: Supernova</t>
        </is>
      </c>
      <c r="E91" t="inlineStr">
        <is>
          <t>Acción, Ciencia ficción</t>
        </is>
      </c>
      <c r="G91" t="inlineStr"/>
    </row>
    <row r="92">
      <c r="A92" s="6" t="n">
        <v>46472</v>
      </c>
      <c r="B92" t="inlineStr">
        <is>
          <t>The Legend of Zelda</t>
        </is>
      </c>
      <c r="C92" t="inlineStr">
        <is>
          <t>The Legend of Zelda</t>
        </is>
      </c>
      <c r="D92" t="inlineStr">
        <is>
          <t>Wes Ball</t>
        </is>
      </c>
      <c r="E92" t="inlineStr">
        <is>
          <t>Aventura, Fantasía, Acción</t>
        </is>
      </c>
      <c r="G92" t="inlineStr">
        <is>
          <t>★</t>
        </is>
      </c>
    </row>
    <row r="93">
      <c r="A93" s="6" t="n">
        <v>46535</v>
      </c>
      <c r="B93" t="inlineStr">
        <is>
          <t>Star Wars: Starfighter</t>
        </is>
      </c>
      <c r="C93" t="inlineStr">
        <is>
          <t>Star Wars: Starfighter</t>
        </is>
      </c>
      <c r="D93" t="inlineStr">
        <is>
          <t>Shawn Levy</t>
        </is>
      </c>
      <c r="E93" t="inlineStr">
        <is>
          <t>Ciencia ficción, Aventura, Acción</t>
        </is>
      </c>
      <c r="G93" t="inlineStr">
        <is>
          <t>★</t>
        </is>
      </c>
    </row>
    <row r="94">
      <c r="A94" s="6" t="n">
        <v>46563</v>
      </c>
      <c r="B94" t="inlineStr">
        <is>
          <t>Spider-Man: Más allá del Spider-Verso</t>
        </is>
      </c>
      <c r="C94" t="inlineStr">
        <is>
          <t>Spider-Man: Beyond the Spider-Verse</t>
        </is>
      </c>
      <c r="D94" t="inlineStr">
        <is>
          <t>Joaquim Dos Santos / Justin K. Thompson</t>
        </is>
      </c>
      <c r="E94" t="inlineStr">
        <is>
          <t>Animación, Superhéroes, Acción</t>
        </is>
      </c>
      <c r="G94" t="inlineStr">
        <is>
          <t>★</t>
        </is>
      </c>
    </row>
    <row r="95">
      <c r="A95" s="6" t="n">
        <v>46568</v>
      </c>
      <c r="B95" t="inlineStr">
        <is>
          <t>Shrek 5</t>
        </is>
      </c>
      <c r="C95" t="inlineStr">
        <is>
          <t>Shrek 5</t>
        </is>
      </c>
      <c r="E95" t="inlineStr">
        <is>
          <t>Animación, Comedia, Familiar</t>
        </is>
      </c>
      <c r="G95" t="inlineStr"/>
    </row>
    <row r="96">
      <c r="A96" s="6" t="n">
        <v>46591</v>
      </c>
      <c r="B96" t="inlineStr">
        <is>
          <t>Los Simpson: La película 2</t>
        </is>
      </c>
      <c r="C96" t="inlineStr">
        <is>
          <t>The Simpsons Movie 2</t>
        </is>
      </c>
      <c r="E96" t="inlineStr">
        <is>
          <t>Animación, Comedia</t>
        </is>
      </c>
      <c r="G96" t="inlineStr"/>
    </row>
    <row r="97">
      <c r="A97" s="6" t="n">
        <v>46598</v>
      </c>
      <c r="B97" t="inlineStr">
        <is>
          <t>Un lugar tranquilo 3</t>
        </is>
      </c>
      <c r="C97" t="inlineStr">
        <is>
          <t>A Quiet Place Part III</t>
        </is>
      </c>
      <c r="D97" t="inlineStr">
        <is>
          <t>John Krasinski</t>
        </is>
      </c>
      <c r="E97" t="inlineStr">
        <is>
          <t>Terror, Ciencia ficción</t>
        </is>
      </c>
      <c r="G97" t="inlineStr"/>
    </row>
    <row r="98">
      <c r="A98" s="6" t="n">
        <v>46661</v>
      </c>
      <c r="B98" t="inlineStr">
        <is>
          <t>The Batman: Parte II</t>
        </is>
      </c>
      <c r="C98" t="inlineStr">
        <is>
          <t>The Batman Part II</t>
        </is>
      </c>
      <c r="D98" t="inlineStr">
        <is>
          <t>Matt Reeves</t>
        </is>
      </c>
      <c r="E98" t="inlineStr">
        <is>
          <t>Superhéroes, Crimen, Thriller</t>
        </is>
      </c>
      <c r="G98" t="inlineStr">
        <is>
          <t>★</t>
        </is>
      </c>
    </row>
    <row r="99">
      <c r="A99" s="6" t="n">
        <v>46717</v>
      </c>
      <c r="B99" t="inlineStr">
        <is>
          <t>Frozen 3</t>
        </is>
      </c>
      <c r="C99" t="inlineStr">
        <is>
          <t>Frozen III</t>
        </is>
      </c>
      <c r="E99" t="inlineStr">
        <is>
          <t>Animación, Musical, Familiar</t>
        </is>
      </c>
      <c r="G99" t="inlineStr"/>
    </row>
    <row r="100">
      <c r="A100" s="6" t="n">
        <v>46738</v>
      </c>
      <c r="B100" t="inlineStr">
        <is>
          <t>El Señor de los Anillos: La caza de Gollum</t>
        </is>
      </c>
      <c r="C100" t="inlineStr">
        <is>
          <t>The Lord of the Rings: The Hunt for Gollum</t>
        </is>
      </c>
      <c r="D100" t="inlineStr">
        <is>
          <t>Andy Serkis</t>
        </is>
      </c>
      <c r="E100" t="inlineStr">
        <is>
          <t>Fantasía, Aventura</t>
        </is>
      </c>
      <c r="G100" t="inlineStr">
        <is>
          <t>★</t>
        </is>
      </c>
    </row>
    <row r="101">
      <c r="A101" s="6" t="n">
        <v>46738</v>
      </c>
      <c r="B101" t="inlineStr">
        <is>
          <t>Vengadores: Secret Wars</t>
        </is>
      </c>
      <c r="C101" t="inlineStr">
        <is>
          <t>Avengers: Secret Wars</t>
        </is>
      </c>
      <c r="D101" t="inlineStr">
        <is>
          <t>Anthony Russo / Joe Russo</t>
        </is>
      </c>
      <c r="E101" t="inlineStr">
        <is>
          <t>Superhéroes, Acción, Ciencia ficción</t>
        </is>
      </c>
      <c r="G101" t="inlineStr">
        <is>
          <t>★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2026-09-30T14:37:44Z</dcterms:created>
  <dcterms:modified xmlns:dcterms="http://purl.org/dc/terms/" xmlns:xsi="http://www.w3.org/2001/XMLSchema-instance" xsi:type="dcterms:W3CDTF">2026-09-30T14:37:44Z</dcterms:modified>
</cp:coreProperties>
</file>